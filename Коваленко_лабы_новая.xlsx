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ia\Desktop\мифи\м. Университет\Статистика\Лаба1\отчеты\"/>
    </mc:Choice>
  </mc:AlternateContent>
  <xr:revisionPtr revIDLastSave="0" documentId="13_ncr:1_{B08A871A-124A-4C3B-A3D1-8D7EA6E81155}" xr6:coauthVersionLast="47" xr6:coauthVersionMax="47" xr10:uidLastSave="{00000000-0000-0000-0000-000000000000}"/>
  <bookViews>
    <workbookView xWindow="-108" yWindow="-108" windowWidth="23256" windowHeight="12456" activeTab="8" xr2:uid="{30BA00BF-2237-4B67-AB6D-65A11D4F2770}"/>
  </bookViews>
  <sheets>
    <sheet name="Исходные данные" sheetId="2" r:id="rId1"/>
    <sheet name="Стандартизированные данные" sheetId="4" r:id="rId2"/>
    <sheet name="полных_связей" sheetId="18" r:id="rId3"/>
    <sheet name="взвешенный_метод_ср_связи" sheetId="19" r:id="rId4"/>
    <sheet name="метод_Уорда" sheetId="7" r:id="rId5"/>
    <sheet name="k-средних" sheetId="22" r:id="rId6"/>
    <sheet name="расчет дисперсий" sheetId="20" r:id="rId7"/>
    <sheet name="Графики" sheetId="5" r:id="rId8"/>
    <sheet name="Оценка качества классификации" sheetId="21" r:id="rId9"/>
  </sheets>
  <definedNames>
    <definedName name="_xlnm._FilterDatabase" localSheetId="4" hidden="1">метод_Уорда!$A$1:$K$59</definedName>
    <definedName name="_xlnm._FilterDatabase" localSheetId="2" hidden="1">полных_связей!$A$1:$K$1</definedName>
    <definedName name="_xlnm._FilterDatabase" localSheetId="1" hidden="1">'Стандартизированные данные'!$A$1:$N$1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2" i="4" l="1"/>
  <c r="N6" i="4" l="1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5" i="4"/>
  <c r="N56" i="4"/>
  <c r="N57" i="4"/>
  <c r="N58" i="4"/>
  <c r="N59" i="4"/>
  <c r="N60" i="4"/>
  <c r="N62" i="4"/>
  <c r="N63" i="4"/>
  <c r="N64" i="4"/>
  <c r="N65" i="4"/>
  <c r="N66" i="4"/>
  <c r="N67" i="4"/>
  <c r="N68" i="4"/>
  <c r="N69" i="4"/>
  <c r="N70" i="4"/>
  <c r="N71" i="4"/>
  <c r="N72" i="4"/>
  <c r="N74" i="4"/>
  <c r="N75" i="4"/>
  <c r="N76" i="4"/>
  <c r="N77" i="4"/>
  <c r="N78" i="4"/>
  <c r="N79" i="4"/>
  <c r="N80" i="4"/>
  <c r="N83" i="4"/>
  <c r="N84" i="4"/>
  <c r="N85" i="4"/>
  <c r="N86" i="4"/>
  <c r="N3" i="4"/>
  <c r="N4" i="4"/>
  <c r="N5" i="4"/>
  <c r="N2" i="4"/>
  <c r="D24" i="22"/>
  <c r="D25" i="22"/>
  <c r="D26" i="22"/>
  <c r="D27" i="22"/>
  <c r="E49" i="22" s="1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E80" i="22" s="1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E86" i="22" s="1"/>
  <c r="D82" i="22"/>
  <c r="D83" i="22"/>
  <c r="D84" i="22"/>
  <c r="D85" i="22"/>
  <c r="D86" i="22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" i="22"/>
  <c r="E23" i="22" s="1"/>
  <c r="F1" i="22" s="1"/>
  <c r="B5" i="21" s="1"/>
  <c r="G3" i="20"/>
  <c r="G4" i="20"/>
  <c r="G5" i="20"/>
  <c r="G6" i="20"/>
  <c r="G7" i="20"/>
  <c r="G8" i="20"/>
  <c r="G9" i="20"/>
  <c r="G10" i="20"/>
  <c r="G2" i="20"/>
  <c r="D3" i="20"/>
  <c r="D4" i="20"/>
  <c r="D5" i="20"/>
  <c r="D6" i="20"/>
  <c r="D7" i="20"/>
  <c r="D8" i="20"/>
  <c r="D9" i="20"/>
  <c r="D10" i="20"/>
  <c r="D2" i="20"/>
  <c r="D82" i="7" l="1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AJ82" i="7"/>
  <c r="AK82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C82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C101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C29" i="7"/>
  <c r="D9" i="7"/>
  <c r="E9" i="7"/>
  <c r="F9" i="7"/>
  <c r="G9" i="7"/>
  <c r="C9" i="7"/>
  <c r="D99" i="7"/>
  <c r="E99" i="7"/>
  <c r="F99" i="7"/>
  <c r="G99" i="7"/>
  <c r="H99" i="7"/>
  <c r="I99" i="7"/>
  <c r="J99" i="7"/>
  <c r="K99" i="7"/>
  <c r="C99" i="7"/>
  <c r="D80" i="7"/>
  <c r="E80" i="7"/>
  <c r="F80" i="7"/>
  <c r="G80" i="7"/>
  <c r="H80" i="7"/>
  <c r="I80" i="7"/>
  <c r="J80" i="7"/>
  <c r="K80" i="7"/>
  <c r="C80" i="7"/>
  <c r="D27" i="7"/>
  <c r="E27" i="7"/>
  <c r="F27" i="7"/>
  <c r="G27" i="7"/>
  <c r="H27" i="7"/>
  <c r="I27" i="7"/>
  <c r="J27" i="7"/>
  <c r="K27" i="7"/>
  <c r="C27" i="7"/>
  <c r="D7" i="7"/>
  <c r="E7" i="7"/>
  <c r="F7" i="7"/>
  <c r="G7" i="7"/>
  <c r="H7" i="7"/>
  <c r="I7" i="7"/>
  <c r="J7" i="7"/>
  <c r="K7" i="7"/>
  <c r="C7" i="7"/>
  <c r="D109" i="19"/>
  <c r="E109" i="19"/>
  <c r="F109" i="19"/>
  <c r="G109" i="19"/>
  <c r="H109" i="19"/>
  <c r="I109" i="19"/>
  <c r="J109" i="19"/>
  <c r="K109" i="19"/>
  <c r="L109" i="19"/>
  <c r="M109" i="19"/>
  <c r="N109" i="19"/>
  <c r="O109" i="19"/>
  <c r="P109" i="19"/>
  <c r="C109" i="19"/>
  <c r="D92" i="19"/>
  <c r="E92" i="19"/>
  <c r="F92" i="19"/>
  <c r="G92" i="19"/>
  <c r="H92" i="19"/>
  <c r="I92" i="19"/>
  <c r="J92" i="19"/>
  <c r="K92" i="19"/>
  <c r="L92" i="19"/>
  <c r="M92" i="19"/>
  <c r="N92" i="19"/>
  <c r="O92" i="19"/>
  <c r="P92" i="19"/>
  <c r="Q92" i="19"/>
  <c r="R92" i="19"/>
  <c r="S92" i="19"/>
  <c r="T92" i="19"/>
  <c r="U92" i="19"/>
  <c r="V92" i="19"/>
  <c r="W92" i="19"/>
  <c r="X92" i="19"/>
  <c r="Y92" i="19"/>
  <c r="Z92" i="19"/>
  <c r="AA92" i="19"/>
  <c r="AB92" i="19"/>
  <c r="AC92" i="19"/>
  <c r="AD92" i="19"/>
  <c r="AE92" i="19"/>
  <c r="AF92" i="19"/>
  <c r="AG92" i="19"/>
  <c r="AH92" i="19"/>
  <c r="AI92" i="19"/>
  <c r="AJ92" i="19"/>
  <c r="AK92" i="19"/>
  <c r="AL92" i="19"/>
  <c r="AM92" i="19"/>
  <c r="AN92" i="19"/>
  <c r="AO92" i="19"/>
  <c r="AP92" i="19"/>
  <c r="AQ92" i="19"/>
  <c r="AR92" i="19"/>
  <c r="AS92" i="19"/>
  <c r="AT92" i="19"/>
  <c r="AU92" i="19"/>
  <c r="AV92" i="19"/>
  <c r="AW92" i="19"/>
  <c r="AX92" i="19"/>
  <c r="AY92" i="19"/>
  <c r="AZ92" i="19"/>
  <c r="BA92" i="19"/>
  <c r="BB92" i="19"/>
  <c r="BC92" i="19"/>
  <c r="BD92" i="19"/>
  <c r="BE92" i="19"/>
  <c r="BF92" i="19"/>
  <c r="BG92" i="19"/>
  <c r="BH92" i="19"/>
  <c r="BI92" i="19"/>
  <c r="BJ92" i="19"/>
  <c r="BK92" i="19"/>
  <c r="BL92" i="19"/>
  <c r="BM92" i="19"/>
  <c r="BN92" i="19"/>
  <c r="BO92" i="19"/>
  <c r="BP92" i="19"/>
  <c r="BQ92" i="19"/>
  <c r="BR92" i="19"/>
  <c r="C92" i="19"/>
  <c r="D21" i="19"/>
  <c r="C21" i="19"/>
  <c r="B22" i="19" s="1"/>
  <c r="D107" i="19"/>
  <c r="E107" i="19"/>
  <c r="F107" i="19"/>
  <c r="G107" i="19"/>
  <c r="H107" i="19"/>
  <c r="I107" i="19"/>
  <c r="J107" i="19"/>
  <c r="K107" i="19"/>
  <c r="C107" i="19"/>
  <c r="D90" i="19"/>
  <c r="E90" i="19"/>
  <c r="F90" i="19"/>
  <c r="G90" i="19"/>
  <c r="H90" i="19"/>
  <c r="I90" i="19"/>
  <c r="J90" i="19"/>
  <c r="K90" i="19"/>
  <c r="C90" i="19"/>
  <c r="D19" i="19"/>
  <c r="E19" i="19"/>
  <c r="F19" i="19"/>
  <c r="G19" i="19"/>
  <c r="H19" i="19"/>
  <c r="I19" i="19"/>
  <c r="J19" i="19"/>
  <c r="K19" i="19"/>
  <c r="C19" i="19"/>
  <c r="D109" i="18"/>
  <c r="E109" i="18"/>
  <c r="F109" i="18"/>
  <c r="G109" i="18"/>
  <c r="H109" i="18"/>
  <c r="I109" i="18"/>
  <c r="J109" i="18"/>
  <c r="K109" i="18"/>
  <c r="L109" i="18"/>
  <c r="M109" i="18"/>
  <c r="N109" i="18"/>
  <c r="O109" i="18"/>
  <c r="P109" i="18"/>
  <c r="Q109" i="18"/>
  <c r="R109" i="18"/>
  <c r="S109" i="18"/>
  <c r="T109" i="18"/>
  <c r="U109" i="18"/>
  <c r="V109" i="18"/>
  <c r="W109" i="18"/>
  <c r="X109" i="18"/>
  <c r="Y109" i="18"/>
  <c r="Z109" i="18"/>
  <c r="AA109" i="18"/>
  <c r="AB109" i="18"/>
  <c r="AC109" i="18"/>
  <c r="AD109" i="18"/>
  <c r="AE109" i="18"/>
  <c r="C109" i="18"/>
  <c r="D76" i="18"/>
  <c r="E76" i="18"/>
  <c r="F76" i="18"/>
  <c r="G76" i="18"/>
  <c r="H76" i="18"/>
  <c r="I76" i="18"/>
  <c r="J76" i="18"/>
  <c r="K76" i="18"/>
  <c r="L76" i="18"/>
  <c r="M76" i="18"/>
  <c r="N76" i="18"/>
  <c r="O76" i="18"/>
  <c r="P76" i="18"/>
  <c r="Q76" i="18"/>
  <c r="R76" i="18"/>
  <c r="S76" i="18"/>
  <c r="T76" i="18"/>
  <c r="U76" i="18"/>
  <c r="V76" i="18"/>
  <c r="W76" i="18"/>
  <c r="X76" i="18"/>
  <c r="Y76" i="18"/>
  <c r="Z76" i="18"/>
  <c r="AA76" i="18"/>
  <c r="AB76" i="18"/>
  <c r="AC76" i="18"/>
  <c r="AD76" i="18"/>
  <c r="AE76" i="18"/>
  <c r="AF76" i="18"/>
  <c r="AG76" i="18"/>
  <c r="AH76" i="18"/>
  <c r="AI76" i="18"/>
  <c r="AJ76" i="18"/>
  <c r="AK76" i="18"/>
  <c r="AL76" i="18"/>
  <c r="AM76" i="18"/>
  <c r="AN76" i="18"/>
  <c r="AO76" i="18"/>
  <c r="AP76" i="18"/>
  <c r="AQ76" i="18"/>
  <c r="AR76" i="18"/>
  <c r="AS76" i="18"/>
  <c r="C76" i="18"/>
  <c r="D29" i="18"/>
  <c r="E29" i="18"/>
  <c r="C29" i="18"/>
  <c r="D22" i="18"/>
  <c r="E22" i="18"/>
  <c r="F22" i="18"/>
  <c r="G22" i="18"/>
  <c r="H22" i="18"/>
  <c r="C22" i="18"/>
  <c r="D11" i="18"/>
  <c r="C11" i="18"/>
  <c r="B12" i="18" s="1"/>
  <c r="D107" i="18"/>
  <c r="E107" i="18"/>
  <c r="F107" i="18"/>
  <c r="G107" i="18"/>
  <c r="H107" i="18"/>
  <c r="I107" i="18"/>
  <c r="J107" i="18"/>
  <c r="K107" i="18"/>
  <c r="C107" i="18"/>
  <c r="D74" i="18"/>
  <c r="E74" i="18"/>
  <c r="F74" i="18"/>
  <c r="G74" i="18"/>
  <c r="H74" i="18"/>
  <c r="I74" i="18"/>
  <c r="J74" i="18"/>
  <c r="K74" i="18"/>
  <c r="C74" i="18"/>
  <c r="D27" i="18"/>
  <c r="E27" i="18"/>
  <c r="F27" i="18"/>
  <c r="G27" i="18"/>
  <c r="H27" i="18"/>
  <c r="I27" i="18"/>
  <c r="J27" i="18"/>
  <c r="K27" i="18"/>
  <c r="C27" i="18"/>
  <c r="D20" i="18"/>
  <c r="E20" i="18"/>
  <c r="F20" i="18"/>
  <c r="G20" i="18"/>
  <c r="H20" i="18"/>
  <c r="I20" i="18"/>
  <c r="J20" i="18"/>
  <c r="K20" i="18"/>
  <c r="C20" i="18"/>
  <c r="D9" i="18"/>
  <c r="E9" i="18"/>
  <c r="F9" i="18"/>
  <c r="G9" i="18"/>
  <c r="H9" i="18"/>
  <c r="I9" i="18"/>
  <c r="J9" i="18"/>
  <c r="K9" i="18"/>
  <c r="C9" i="18"/>
  <c r="B30" i="7" l="1"/>
  <c r="B111" i="19"/>
  <c r="B102" i="7"/>
  <c r="B10" i="7"/>
  <c r="B93" i="19"/>
  <c r="B83" i="7"/>
  <c r="B113" i="19"/>
  <c r="B3" i="21" s="1"/>
  <c r="B104" i="7"/>
  <c r="B4" i="21" s="1"/>
  <c r="B77" i="18"/>
  <c r="B110" i="18"/>
  <c r="B112" i="18" s="1"/>
  <c r="B2" i="21" s="1"/>
  <c r="B23" i="18"/>
  <c r="B30" i="18"/>
</calcChain>
</file>

<file path=xl/sharedStrings.xml><?xml version="1.0" encoding="utf-8"?>
<sst xmlns="http://schemas.openxmlformats.org/spreadsheetml/2006/main" count="706" uniqueCount="147">
  <si>
    <t>X1</t>
  </si>
  <si>
    <t>X2</t>
  </si>
  <si>
    <t>X3</t>
  </si>
  <si>
    <t>X4</t>
  </si>
  <si>
    <t>X5</t>
  </si>
  <si>
    <t>X6</t>
  </si>
  <si>
    <t>X7</t>
  </si>
  <si>
    <t>X8</t>
  </si>
  <si>
    <t>X9</t>
  </si>
  <si>
    <t xml:space="preserve">Численность населения на одну больничную койку </t>
  </si>
  <si>
    <t xml:space="preserve">Мощность амбулаторно-поликлинических организаций </t>
  </si>
  <si>
    <t xml:space="preserve">Заболеваемость на 1 000 человек населения </t>
  </si>
  <si>
    <t xml:space="preserve">Индексы потребительских цен на продовольственные товары </t>
  </si>
  <si>
    <t xml:space="preserve">Индексы цен на первичном рынке жилья </t>
  </si>
  <si>
    <t xml:space="preserve">Индексы тарифов на грузовые перевозки </t>
  </si>
  <si>
    <t>Название</t>
  </si>
  <si>
    <t>Обозначение</t>
  </si>
  <si>
    <t xml:space="preserve">Плотность автомобильных дорог общего пользования с твердым покрытием </t>
  </si>
  <si>
    <t xml:space="preserve">Число автобусов общего пользования на 100 000 человек населения </t>
  </si>
  <si>
    <t xml:space="preserve">Число дорожно-транспортных происшествий и пострадавших в них на 100 000 человек населения 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</si>
  <si>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</si>
  <si>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</si>
  <si>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</si>
  <si>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</si>
  <si>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</si>
  <si>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</si>
  <si>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</si>
  <si>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</si>
  <si>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</si>
  <si>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</si>
  <si>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</si>
  <si>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</si>
  <si>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</si>
  <si>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</si>
  <si>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</si>
  <si>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</si>
  <si>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</si>
  <si>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</si>
  <si>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</si>
  <si>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</si>
  <si>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</si>
  <si>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</si>
  <si>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</si>
  <si>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</si>
  <si>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</si>
  <si>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</si>
  <si>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</si>
  <si>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</si>
  <si>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</si>
  <si>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</si>
  <si>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</si>
  <si>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</si>
  <si>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 xml:space="preserve">Краснодарский край 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</si>
  <si>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</si>
  <si>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</si>
  <si>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</si>
  <si>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</si>
  <si>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</si>
  <si>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</si>
  <si>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</si>
  <si>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</si>
  <si>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</si>
  <si>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</si>
  <si>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</si>
  <si>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</si>
  <si>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</si>
  <si>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</si>
  <si>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</si>
  <si>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</si>
  <si>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</si>
  <si>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</si>
  <si>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</si>
  <si>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</si>
  <si>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</si>
  <si>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</si>
  <si>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</si>
  <si>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</si>
  <si>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</si>
  <si>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</si>
  <si>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</si>
  <si>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Ханты-Мансийский автономный округ – Югра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</si>
  <si>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</si>
  <si>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</si>
  <si>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</si>
  <si>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</si>
  <si>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</si>
  <si>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</si>
  <si>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</si>
  <si>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</si>
  <si>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</si>
  <si>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</si>
  <si>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</si>
  <si>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</si>
  <si>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</si>
  <si>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</si>
  <si>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</si>
  <si>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</si>
  <si>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</si>
  <si>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</si>
  <si>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</si>
  <si>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</si>
  <si>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</si>
  <si>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</si>
  <si>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</si>
  <si>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</si>
  <si>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Субъект</t>
  </si>
  <si>
    <t>кластер</t>
  </si>
  <si>
    <t>кластер по методу полных связей</t>
  </si>
  <si>
    <t>Кластер 1</t>
  </si>
  <si>
    <t>Кластер 2</t>
  </si>
  <si>
    <t>Кластер 3</t>
  </si>
  <si>
    <t>Кластер 4</t>
  </si>
  <si>
    <t>кластер по взвешенному методу средней связи</t>
  </si>
  <si>
    <t>кластер по методу Уорда</t>
  </si>
  <si>
    <t>срзнач</t>
  </si>
  <si>
    <t>Q(S)</t>
  </si>
  <si>
    <t>Q1(S)</t>
  </si>
  <si>
    <t>Q2(S)</t>
  </si>
  <si>
    <t>Q3(S)</t>
  </si>
  <si>
    <t>Q6(S)</t>
  </si>
  <si>
    <t>Q5(S)</t>
  </si>
  <si>
    <t>Q4(S)</t>
  </si>
  <si>
    <t>Кластер 5</t>
  </si>
  <si>
    <t>Кластер 6</t>
  </si>
  <si>
    <t xml:space="preserve"> Variable</t>
  </si>
  <si>
    <t>Between</t>
  </si>
  <si>
    <t>df</t>
  </si>
  <si>
    <t>Within</t>
  </si>
  <si>
    <t>F</t>
  </si>
  <si>
    <t>signif.</t>
  </si>
  <si>
    <t>Межгрупповая дисперсия</t>
  </si>
  <si>
    <t>Внутригруппая дисперсия</t>
  </si>
  <si>
    <t>кластер по методу k-средних</t>
  </si>
  <si>
    <t>метод</t>
  </si>
  <si>
    <t>полных связей</t>
  </si>
  <si>
    <t>взвешенный метод средней связи</t>
  </si>
  <si>
    <t>метод Уорда</t>
  </si>
  <si>
    <t>метод k-средних</t>
  </si>
  <si>
    <t>значение метрики качества классификации Q(S)</t>
  </si>
  <si>
    <t>субъект</t>
  </si>
  <si>
    <t>расстояние до центра кластера</t>
  </si>
  <si>
    <t xml:space="preserve">квадрат расстония </t>
  </si>
  <si>
    <t>Свердловская область</t>
  </si>
  <si>
    <t>Нижегородская область</t>
  </si>
  <si>
    <t>Новосибирская область</t>
  </si>
  <si>
    <t>Хабаровский край</t>
  </si>
  <si>
    <t>Краснодарский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</si>
</sst>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00000"/>
  </numFmts>
  <fonts count="16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name val="Calibri"/>
      <charset val="204"/>
    </font>
    <font>
      <sz val="11"/>
      <color indexed="8"/>
      <name val="Calibri"/>
      <charset val="204"/>
    </font>
    <font>
      <sz val="14"/>
      <color theme="1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"/>
      <charset val="204"/>
    </font>
    <font>
      <sz val="10"/>
      <color indexed="8"/>
      <name val="Arial"/>
      <charset val="204"/>
    </font>
    <font>
      <b/>
      <sz val="10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6" fillId="0" borderId="0"/>
    <xf numFmtId="0" fontId="11" fillId="0" borderId="0"/>
    <xf numFmtId="0" fontId="11" fillId="0" borderId="0"/>
    <xf numFmtId="0" fontId="13" fillId="0" borderId="0"/>
    <xf numFmtId="0" fontId="13" fillId="0" borderId="0"/>
    <xf numFmtId="0" fontId="11" fillId="0" borderId="0"/>
    <xf numFmtId="0" fontId="11" fillId="0" borderId="0"/>
    <xf numFmtId="0" fontId="13" fillId="0" borderId="0"/>
    <xf numFmtId="0" fontId="11" fillId="0" borderId="0"/>
  </cellStyleXfs>
  <cellXfs count="78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Border="1"/>
    <xf numFmtId="0" fontId="0" fillId="4" borderId="0" xfId="0" applyFill="1"/>
    <xf numFmtId="0" fontId="4" fillId="2" borderId="1" xfId="0" applyFont="1" applyFill="1" applyBorder="1"/>
    <xf numFmtId="0" fontId="5" fillId="2" borderId="1" xfId="0" applyFont="1" applyFill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/>
    </xf>
    <xf numFmtId="0" fontId="8" fillId="0" borderId="0" xfId="0" applyFont="1" applyBorder="1" applyAlignment="1">
      <alignment horizontal="justify" vertical="center" wrapText="1"/>
    </xf>
    <xf numFmtId="0" fontId="9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2" fontId="0" fillId="0" borderId="0" xfId="0" applyNumberFormat="1"/>
    <xf numFmtId="2" fontId="7" fillId="0" borderId="1" xfId="1" applyNumberFormat="1" applyFont="1" applyBorder="1" applyAlignment="1"/>
    <xf numFmtId="0" fontId="12" fillId="0" borderId="1" xfId="2" applyNumberFormat="1" applyFont="1" applyBorder="1" applyAlignment="1">
      <alignment horizontal="right" vertical="center"/>
    </xf>
    <xf numFmtId="164" fontId="0" fillId="0" borderId="0" xfId="0" applyNumberFormat="1"/>
    <xf numFmtId="0" fontId="8" fillId="0" borderId="0" xfId="0" applyFont="1" applyFill="1" applyBorder="1" applyAlignment="1">
      <alignment horizontal="justify" vertical="center" wrapText="1"/>
    </xf>
    <xf numFmtId="0" fontId="8" fillId="0" borderId="0" xfId="0" applyFont="1" applyBorder="1" applyAlignment="1">
      <alignment vertical="center" wrapText="1"/>
    </xf>
    <xf numFmtId="0" fontId="0" fillId="0" borderId="1" xfId="0" applyBorder="1"/>
    <xf numFmtId="0" fontId="14" fillId="0" borderId="1" xfId="4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14" fillId="5" borderId="1" xfId="4" applyNumberFormat="1" applyFont="1" applyFill="1" applyBorder="1" applyAlignment="1">
      <alignment horizontal="right" vertical="center"/>
    </xf>
    <xf numFmtId="0" fontId="14" fillId="0" borderId="1" xfId="4" applyNumberFormat="1" applyFont="1" applyFill="1" applyBorder="1" applyAlignment="1">
      <alignment horizontal="right" vertical="center"/>
    </xf>
    <xf numFmtId="0" fontId="0" fillId="5" borderId="1" xfId="0" applyFill="1" applyBorder="1"/>
    <xf numFmtId="2" fontId="14" fillId="0" borderId="0" xfId="4" applyNumberFormat="1" applyFont="1" applyAlignment="1">
      <alignment horizontal="right" vertical="center"/>
    </xf>
    <xf numFmtId="0" fontId="8" fillId="0" borderId="2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4" fillId="0" borderId="1" xfId="5" applyNumberFormat="1" applyFont="1" applyBorder="1" applyAlignment="1">
      <alignment horizontal="right" vertical="center"/>
    </xf>
    <xf numFmtId="0" fontId="4" fillId="0" borderId="0" xfId="0" applyFont="1" applyBorder="1" applyAlignment="1">
      <alignment vertical="center" wrapText="1"/>
    </xf>
    <xf numFmtId="0" fontId="14" fillId="0" borderId="0" xfId="5" applyNumberFormat="1" applyFont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0" fontId="14" fillId="5" borderId="1" xfId="5" applyNumberFormat="1" applyFont="1" applyFill="1" applyBorder="1" applyAlignment="1">
      <alignment horizontal="right" vertical="center"/>
    </xf>
    <xf numFmtId="2" fontId="12" fillId="0" borderId="0" xfId="6" applyNumberFormat="1" applyFont="1" applyAlignment="1">
      <alignment horizontal="right" vertical="center"/>
    </xf>
    <xf numFmtId="0" fontId="4" fillId="3" borderId="1" xfId="0" applyFont="1" applyFill="1" applyBorder="1" applyAlignment="1">
      <alignment vertical="center" wrapText="1"/>
    </xf>
    <xf numFmtId="0" fontId="14" fillId="3" borderId="1" xfId="5" applyNumberFormat="1" applyFont="1" applyFill="1" applyBorder="1" applyAlignment="1">
      <alignment horizontal="right" vertical="center"/>
    </xf>
    <xf numFmtId="0" fontId="0" fillId="3" borderId="0" xfId="0" applyFill="1"/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0" fillId="0" borderId="0" xfId="0" applyFill="1" applyBorder="1"/>
    <xf numFmtId="2" fontId="7" fillId="0" borderId="0" xfId="1" applyNumberFormat="1" applyFont="1" applyFill="1" applyBorder="1" applyAlignment="1"/>
    <xf numFmtId="0" fontId="12" fillId="0" borderId="0" xfId="2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 wrapText="1" indent="1"/>
    </xf>
    <xf numFmtId="164" fontId="0" fillId="0" borderId="0" xfId="0" applyNumberFormat="1" applyFill="1" applyBorder="1"/>
    <xf numFmtId="2" fontId="0" fillId="0" borderId="0" xfId="0" applyNumberFormat="1" applyFill="1" applyBorder="1"/>
    <xf numFmtId="2" fontId="12" fillId="0" borderId="0" xfId="3" applyNumberFormat="1" applyFont="1" applyFill="1" applyBorder="1" applyAlignment="1">
      <alignment horizontal="right" vertical="center"/>
    </xf>
    <xf numFmtId="0" fontId="12" fillId="0" borderId="1" xfId="7" applyNumberFormat="1" applyFont="1" applyBorder="1" applyAlignment="1">
      <alignment horizontal="right" vertical="center"/>
    </xf>
    <xf numFmtId="0" fontId="7" fillId="0" borderId="1" xfId="1" applyNumberFormat="1" applyFont="1" applyBorder="1" applyAlignment="1"/>
    <xf numFmtId="0" fontId="12" fillId="5" borderId="1" xfId="7" applyNumberFormat="1" applyFont="1" applyFill="1" applyBorder="1" applyAlignment="1">
      <alignment horizontal="right" vertical="center"/>
    </xf>
    <xf numFmtId="0" fontId="12" fillId="6" borderId="1" xfId="7" applyNumberFormat="1" applyFont="1" applyFill="1" applyBorder="1" applyAlignment="1">
      <alignment horizontal="right" vertical="center"/>
    </xf>
    <xf numFmtId="2" fontId="12" fillId="0" borderId="0" xfId="7" applyNumberFormat="1" applyFont="1" applyAlignment="1">
      <alignment horizontal="right" vertical="center"/>
    </xf>
    <xf numFmtId="0" fontId="0" fillId="4" borderId="0" xfId="0" applyFill="1" applyBorder="1"/>
    <xf numFmtId="0" fontId="4" fillId="0" borderId="5" xfId="0" applyFont="1" applyBorder="1" applyAlignment="1">
      <alignment vertical="center" wrapText="1"/>
    </xf>
    <xf numFmtId="164" fontId="14" fillId="0" borderId="0" xfId="8" applyNumberFormat="1" applyFont="1" applyAlignment="1">
      <alignment horizontal="right" vertical="center"/>
    </xf>
    <xf numFmtId="0" fontId="14" fillId="0" borderId="1" xfId="8" applyNumberFormat="1" applyFont="1" applyBorder="1" applyAlignment="1"/>
    <xf numFmtId="0" fontId="14" fillId="0" borderId="1" xfId="8" applyNumberFormat="1" applyFont="1" applyBorder="1" applyAlignment="1">
      <alignment horizontal="center" vertical="top" wrapText="1"/>
    </xf>
    <xf numFmtId="0" fontId="12" fillId="0" borderId="1" xfId="8" applyNumberFormat="1" applyFont="1" applyBorder="1" applyAlignment="1">
      <alignment horizontal="center" vertical="top" wrapText="1"/>
    </xf>
    <xf numFmtId="0" fontId="14" fillId="0" borderId="1" xfId="8" applyNumberFormat="1" applyFont="1" applyBorder="1" applyAlignment="1">
      <alignment horizontal="left" vertical="center"/>
    </xf>
    <xf numFmtId="165" fontId="14" fillId="0" borderId="1" xfId="8" applyNumberFormat="1" applyFont="1" applyBorder="1" applyAlignment="1">
      <alignment horizontal="right" vertical="center"/>
    </xf>
    <xf numFmtId="1" fontId="14" fillId="0" borderId="1" xfId="8" applyNumberFormat="1" applyFont="1" applyBorder="1" applyAlignment="1">
      <alignment horizontal="right" vertical="center"/>
    </xf>
    <xf numFmtId="164" fontId="14" fillId="0" borderId="1" xfId="8" applyNumberFormat="1" applyFont="1" applyBorder="1" applyAlignment="1">
      <alignment horizontal="right" vertical="center"/>
    </xf>
    <xf numFmtId="166" fontId="14" fillId="0" borderId="1" xfId="8" applyNumberFormat="1" applyFont="1" applyBorder="1" applyAlignment="1">
      <alignment horizontal="right" vertical="center"/>
    </xf>
    <xf numFmtId="0" fontId="0" fillId="2" borderId="0" xfId="0" applyFill="1"/>
    <xf numFmtId="0" fontId="12" fillId="0" borderId="0" xfId="9" applyNumberFormat="1" applyFont="1" applyAlignment="1">
      <alignment horizontal="left" vertical="center"/>
    </xf>
    <xf numFmtId="166" fontId="12" fillId="0" borderId="0" xfId="9" applyNumberFormat="1" applyFont="1" applyAlignment="1">
      <alignment horizontal="right" vertical="center"/>
    </xf>
    <xf numFmtId="0" fontId="12" fillId="7" borderId="0" xfId="9" applyNumberFormat="1" applyFont="1" applyFill="1" applyAlignment="1">
      <alignment horizontal="left" vertical="center"/>
    </xf>
    <xf numFmtId="0" fontId="0" fillId="7" borderId="0" xfId="0" applyFill="1"/>
    <xf numFmtId="166" fontId="12" fillId="7" borderId="0" xfId="9" applyNumberFormat="1" applyFont="1" applyFill="1" applyAlignment="1">
      <alignment horizontal="right" vertical="center"/>
    </xf>
    <xf numFmtId="0" fontId="0" fillId="4" borderId="1" xfId="0" applyFill="1" applyBorder="1"/>
    <xf numFmtId="4" fontId="4" fillId="0" borderId="1" xfId="0" applyNumberFormat="1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/>
  </cellXfs>
  <cellStyles count="10">
    <cellStyle name="Обычный" xfId="0" builtinId="0"/>
    <cellStyle name="Обычный_k-средних" xfId="9" xr:uid="{54793441-F0B5-4CA8-9FF4-E851A7150F51}"/>
    <cellStyle name="Обычный_взвешенный_метод_ср_связи" xfId="5" xr:uid="{6CAB4ED5-6FE9-4B91-9051-72B4D26F2F46}"/>
    <cellStyle name="Обычный_взвешенный_метод_ср_связи_1" xfId="6" xr:uid="{A891758B-0D23-43D1-A423-837EF158E421}"/>
    <cellStyle name="Обычный_метод_Уорда" xfId="7" xr:uid="{6687BE8A-0FCF-4807-A938-805CB4A363D3}"/>
    <cellStyle name="Обычный_полных_связей" xfId="4" xr:uid="{26609609-628F-45AE-B3DD-E1DBDC541B1B}"/>
    <cellStyle name="Обычный_расчет дисперсий" xfId="8" xr:uid="{C04EFEF7-7C85-4E31-A565-C94C3118BAF5}"/>
    <cellStyle name="Обычный_Стандартизированные данные_1" xfId="1" xr:uid="{3B02A3B1-BA47-42C7-AEED-357DF80FDAFD}"/>
    <cellStyle name="Обычный_Стандартизированные данные_2" xfId="2" xr:uid="{02C86377-574F-4E15-B07E-E4A93846D728}"/>
    <cellStyle name="Обычный_Стандартизированные данные_у1" xfId="3" xr:uid="{32957D6A-3909-40CD-805C-AE3552B22EC5}"/>
  </cellStyles>
  <dxfs count="0"/>
  <tableStyles count="0" defaultTableStyle="TableStyleMedium2" defaultPivotStyle="PivotStyleLight16"/>
  <colors>
    <mruColors>
      <color rgb="FFCAAFFF"/>
      <color rgb="FFFF7C80"/>
      <color rgb="FFCC71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100" b="0" i="0" baseline="0">
                <a:effectLst/>
              </a:rPr>
              <a:t>График средних значений признаков в каждом кластере (метод полных связей)</a:t>
            </a:r>
            <a:endParaRPr lang="ru-RU" sz="11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ru-RU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Графики!$B$20</c:f>
              <c:strCache>
                <c:ptCount val="1"/>
                <c:pt idx="0">
                  <c:v>Кластер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Графики!$A$21:$A$29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Графики!$B$21:$B$29</c:f>
              <c:numCache>
                <c:formatCode>General</c:formatCode>
                <c:ptCount val="9"/>
                <c:pt idx="0">
                  <c:v>-0.71804347000000002</c:v>
                </c:pt>
                <c:pt idx="1">
                  <c:v>-0.29736586300000001</c:v>
                </c:pt>
                <c:pt idx="2">
                  <c:v>-0.91682958999999997</c:v>
                </c:pt>
                <c:pt idx="3">
                  <c:v>0.936645481</c:v>
                </c:pt>
                <c:pt idx="4">
                  <c:v>4.32270997</c:v>
                </c:pt>
                <c:pt idx="5">
                  <c:v>0.97105383000000001</c:v>
                </c:pt>
                <c:pt idx="6">
                  <c:v>1.2602870799999999</c:v>
                </c:pt>
                <c:pt idx="7">
                  <c:v>3.1854524</c:v>
                </c:pt>
                <c:pt idx="8">
                  <c:v>-1.2530358699999999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CE-43D0-9B03-7588B638BAF3}"/>
            </c:ext>
          </c:extLst>
        </c:ser>
        <c:ser>
          <c:idx val="1"/>
          <c:order val="1"/>
          <c:tx>
            <c:strRef>
              <c:f>Графики!$C$20</c:f>
              <c:strCache>
                <c:ptCount val="1"/>
                <c:pt idx="0">
                  <c:v>Кластер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Графики!$A$21:$A$29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Графики!$C$21:$C$29</c:f>
              <c:numCache>
                <c:formatCode>General</c:formatCode>
                <c:ptCount val="9"/>
                <c:pt idx="0">
                  <c:v>0.82783810899999999</c:v>
                </c:pt>
                <c:pt idx="1">
                  <c:v>2.1443685299999999</c:v>
                </c:pt>
                <c:pt idx="2">
                  <c:v>2.6027581000000001E-2</c:v>
                </c:pt>
                <c:pt idx="3">
                  <c:v>5.2698493150000001</c:v>
                </c:pt>
                <c:pt idx="4">
                  <c:v>-0.36130399400000002</c:v>
                </c:pt>
                <c:pt idx="5">
                  <c:v>-0.86920479299999998</c:v>
                </c:pt>
                <c:pt idx="6">
                  <c:v>0.24702421399999999</c:v>
                </c:pt>
                <c:pt idx="7">
                  <c:v>-0.62067489600000003</c:v>
                </c:pt>
                <c:pt idx="8">
                  <c:v>0.17909427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CE-43D0-9B03-7588B638BAF3}"/>
            </c:ext>
          </c:extLst>
        </c:ser>
        <c:ser>
          <c:idx val="2"/>
          <c:order val="2"/>
          <c:tx>
            <c:strRef>
              <c:f>Графики!$D$20</c:f>
              <c:strCache>
                <c:ptCount val="1"/>
                <c:pt idx="0">
                  <c:v>Кластер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Графики!$A$21:$A$29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Графики!$D$21:$D$29</c:f>
              <c:numCache>
                <c:formatCode>General</c:formatCode>
                <c:ptCount val="9"/>
                <c:pt idx="0">
                  <c:v>1.465518047</c:v>
                </c:pt>
                <c:pt idx="1">
                  <c:v>-1.674917902</c:v>
                </c:pt>
                <c:pt idx="2">
                  <c:v>-1.2830671570000001</c:v>
                </c:pt>
                <c:pt idx="3">
                  <c:v>1.0880457690000001</c:v>
                </c:pt>
                <c:pt idx="4">
                  <c:v>0.45912578199999998</c:v>
                </c:pt>
                <c:pt idx="5">
                  <c:v>-1.35413377</c:v>
                </c:pt>
                <c:pt idx="6">
                  <c:v>0.70540503200000004</c:v>
                </c:pt>
                <c:pt idx="7">
                  <c:v>0.40661844400000002</c:v>
                </c:pt>
                <c:pt idx="8">
                  <c:v>0.21319260600000001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CE-43D0-9B03-7588B638BAF3}"/>
            </c:ext>
          </c:extLst>
        </c:ser>
        <c:ser>
          <c:idx val="3"/>
          <c:order val="3"/>
          <c:tx>
            <c:strRef>
              <c:f>Графики!$E$20</c:f>
              <c:strCache>
                <c:ptCount val="1"/>
                <c:pt idx="0">
                  <c:v>Кластер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Графики!$A$21:$A$29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Графики!$E$21:$E$29</c:f>
              <c:numCache>
                <c:formatCode>General</c:formatCode>
                <c:ptCount val="9"/>
                <c:pt idx="0">
                  <c:v>-1.0827782180000001</c:v>
                </c:pt>
                <c:pt idx="1">
                  <c:v>2.5860601330000001</c:v>
                </c:pt>
                <c:pt idx="2">
                  <c:v>0.18329388599999999</c:v>
                </c:pt>
                <c:pt idx="3">
                  <c:v>-0.576137703</c:v>
                </c:pt>
                <c:pt idx="4">
                  <c:v>-0.22553547199999999</c:v>
                </c:pt>
                <c:pt idx="5">
                  <c:v>-0.21485961100000001</c:v>
                </c:pt>
                <c:pt idx="6">
                  <c:v>-2.2673688140000001</c:v>
                </c:pt>
                <c:pt idx="7">
                  <c:v>-0.47516902300000002</c:v>
                </c:pt>
                <c:pt idx="8">
                  <c:v>0.895159339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CE-43D0-9B03-7588B638BAF3}"/>
            </c:ext>
          </c:extLst>
        </c:ser>
        <c:ser>
          <c:idx val="4"/>
          <c:order val="4"/>
          <c:tx>
            <c:strRef>
              <c:f>Графики!$F$20</c:f>
              <c:strCache>
                <c:ptCount val="1"/>
                <c:pt idx="0">
                  <c:v>Кластер 5</c:v>
                </c:pt>
              </c:strCache>
            </c:strRef>
          </c:tx>
          <c:spPr>
            <a:ln w="19050" cap="rnd">
              <a:solidFill>
                <a:srgbClr val="CC71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Графики!$A$21:$A$29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Графики!$F$21:$F$29</c:f>
              <c:numCache>
                <c:formatCode>General</c:formatCode>
                <c:ptCount val="9"/>
                <c:pt idx="0">
                  <c:v>0.127612488</c:v>
                </c:pt>
                <c:pt idx="1">
                  <c:v>-0.162723491</c:v>
                </c:pt>
                <c:pt idx="2">
                  <c:v>-0.140838565</c:v>
                </c:pt>
                <c:pt idx="3">
                  <c:v>-0.103483014</c:v>
                </c:pt>
                <c:pt idx="4">
                  <c:v>-0.202170657</c:v>
                </c:pt>
                <c:pt idx="5">
                  <c:v>-6.6514981000000001E-2</c:v>
                </c:pt>
                <c:pt idx="6">
                  <c:v>0.39233710500000002</c:v>
                </c:pt>
                <c:pt idx="7">
                  <c:v>0.15422847200000001</c:v>
                </c:pt>
                <c:pt idx="8">
                  <c:v>0.294121087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CE-43D0-9B03-7588B638BAF3}"/>
            </c:ext>
          </c:extLst>
        </c:ser>
        <c:ser>
          <c:idx val="5"/>
          <c:order val="5"/>
          <c:tx>
            <c:strRef>
              <c:f>Графики!$G$20</c:f>
              <c:strCache>
                <c:ptCount val="1"/>
                <c:pt idx="0">
                  <c:v>Кластер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Графики!$A$21:$A$29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Графики!$G$21:$G$29</c:f>
              <c:numCache>
                <c:formatCode>General</c:formatCode>
                <c:ptCount val="9"/>
                <c:pt idx="0">
                  <c:v>-0.46328487699999998</c:v>
                </c:pt>
                <c:pt idx="1">
                  <c:v>0.240413236</c:v>
                </c:pt>
                <c:pt idx="2">
                  <c:v>0.52939383399999995</c:v>
                </c:pt>
                <c:pt idx="3">
                  <c:v>-0.44532695799999999</c:v>
                </c:pt>
                <c:pt idx="4">
                  <c:v>8.8136627999999995E-2</c:v>
                </c:pt>
                <c:pt idx="5">
                  <c:v>0.47417293599999999</c:v>
                </c:pt>
                <c:pt idx="6">
                  <c:v>-0.57795033900000004</c:v>
                </c:pt>
                <c:pt idx="7">
                  <c:v>-0.34471548200000002</c:v>
                </c:pt>
                <c:pt idx="8">
                  <c:v>-0.54931674900000005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CE-43D0-9B03-7588B638B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39856"/>
        <c:axId val="143140272"/>
      </c:scatterChart>
      <c:valAx>
        <c:axId val="14313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140272"/>
        <c:crosses val="autoZero"/>
        <c:crossBetween val="midCat"/>
      </c:valAx>
      <c:valAx>
        <c:axId val="14314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139856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График средних значений признаков в каждом кластере взвешенным методом средней связи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Графики!$M$20</c:f>
              <c:strCache>
                <c:ptCount val="1"/>
                <c:pt idx="0">
                  <c:v>Кластер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Графики!$L$21:$L$29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Графики!$M$21:$M$29</c:f>
              <c:numCache>
                <c:formatCode>General</c:formatCode>
                <c:ptCount val="9"/>
                <c:pt idx="0">
                  <c:v>0.668796795</c:v>
                </c:pt>
                <c:pt idx="1">
                  <c:v>-0.29457769900000003</c:v>
                </c:pt>
                <c:pt idx="2">
                  <c:v>-0.90053512199999997</c:v>
                </c:pt>
                <c:pt idx="3">
                  <c:v>-0.61663420300000005</c:v>
                </c:pt>
                <c:pt idx="4">
                  <c:v>-0.40203454900000002</c:v>
                </c:pt>
                <c:pt idx="5">
                  <c:v>3.4377537899999999</c:v>
                </c:pt>
                <c:pt idx="6">
                  <c:v>1.4291642200000001</c:v>
                </c:pt>
                <c:pt idx="7">
                  <c:v>-0.260739316</c:v>
                </c:pt>
                <c:pt idx="8">
                  <c:v>-7.2854551000000004E-2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47-4073-A00C-B2D084D4ABE2}"/>
            </c:ext>
          </c:extLst>
        </c:ser>
        <c:ser>
          <c:idx val="1"/>
          <c:order val="1"/>
          <c:tx>
            <c:strRef>
              <c:f>Графики!$N$20</c:f>
              <c:strCache>
                <c:ptCount val="1"/>
                <c:pt idx="0">
                  <c:v>Кластер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Графики!$L$21:$L$29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Графики!$N$21:$N$29</c:f>
              <c:numCache>
                <c:formatCode>General</c:formatCode>
                <c:ptCount val="9"/>
                <c:pt idx="0">
                  <c:v>-0.71804347000000002</c:v>
                </c:pt>
                <c:pt idx="1">
                  <c:v>-0.29736586300000001</c:v>
                </c:pt>
                <c:pt idx="2">
                  <c:v>-0.91682958999999997</c:v>
                </c:pt>
                <c:pt idx="3">
                  <c:v>0.936645481</c:v>
                </c:pt>
                <c:pt idx="4">
                  <c:v>4.32270997</c:v>
                </c:pt>
                <c:pt idx="5">
                  <c:v>0.97105383000000001</c:v>
                </c:pt>
                <c:pt idx="6">
                  <c:v>1.2602870799999999</c:v>
                </c:pt>
                <c:pt idx="7">
                  <c:v>3.1854524</c:v>
                </c:pt>
                <c:pt idx="8">
                  <c:v>-1.2530358699999999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47-4073-A00C-B2D084D4ABE2}"/>
            </c:ext>
          </c:extLst>
        </c:ser>
        <c:ser>
          <c:idx val="2"/>
          <c:order val="2"/>
          <c:tx>
            <c:strRef>
              <c:f>Графики!$O$20</c:f>
              <c:strCache>
                <c:ptCount val="1"/>
                <c:pt idx="0">
                  <c:v>Кластер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Графики!$L$21:$L$29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Графики!$O$21:$O$29</c:f>
              <c:numCache>
                <c:formatCode>General</c:formatCode>
                <c:ptCount val="9"/>
                <c:pt idx="0">
                  <c:v>-1.2524222899999999</c:v>
                </c:pt>
                <c:pt idx="1">
                  <c:v>-0.64867449300000002</c:v>
                </c:pt>
                <c:pt idx="2">
                  <c:v>-0.14506433299999999</c:v>
                </c:pt>
                <c:pt idx="3">
                  <c:v>-0.67773143700000005</c:v>
                </c:pt>
                <c:pt idx="4">
                  <c:v>-0.15765121200000001</c:v>
                </c:pt>
                <c:pt idx="5">
                  <c:v>-1.5933095900000001</c:v>
                </c:pt>
                <c:pt idx="6">
                  <c:v>-0.147022454</c:v>
                </c:pt>
                <c:pt idx="7">
                  <c:v>1.4956021999999999E-2</c:v>
                </c:pt>
                <c:pt idx="8">
                  <c:v>-3.9183891800000001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47-4073-A00C-B2D084D4ABE2}"/>
            </c:ext>
          </c:extLst>
        </c:ser>
        <c:ser>
          <c:idx val="3"/>
          <c:order val="3"/>
          <c:tx>
            <c:strRef>
              <c:f>Графики!$P$20</c:f>
              <c:strCache>
                <c:ptCount val="1"/>
                <c:pt idx="0">
                  <c:v>Кластер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Графики!$L$21:$L$29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Графики!$P$21:$P$29</c:f>
              <c:numCache>
                <c:formatCode>General</c:formatCode>
                <c:ptCount val="9"/>
                <c:pt idx="0">
                  <c:v>0.82783810899999999</c:v>
                </c:pt>
                <c:pt idx="1">
                  <c:v>2.1443685299999999</c:v>
                </c:pt>
                <c:pt idx="2">
                  <c:v>2.6027581000000001E-2</c:v>
                </c:pt>
                <c:pt idx="3">
                  <c:v>5.2698493150000001</c:v>
                </c:pt>
                <c:pt idx="4">
                  <c:v>-0.36130399400000002</c:v>
                </c:pt>
                <c:pt idx="5">
                  <c:v>-0.86920479299999998</c:v>
                </c:pt>
                <c:pt idx="6">
                  <c:v>0.24702421399999999</c:v>
                </c:pt>
                <c:pt idx="7">
                  <c:v>-0.62067489600000003</c:v>
                </c:pt>
                <c:pt idx="8">
                  <c:v>0.17909427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47-4073-A00C-B2D084D4ABE2}"/>
            </c:ext>
          </c:extLst>
        </c:ser>
        <c:ser>
          <c:idx val="4"/>
          <c:order val="4"/>
          <c:tx>
            <c:strRef>
              <c:f>Графики!$Q$20</c:f>
              <c:strCache>
                <c:ptCount val="1"/>
                <c:pt idx="0">
                  <c:v>Кластер 5</c:v>
                </c:pt>
              </c:strCache>
            </c:strRef>
          </c:tx>
          <c:spPr>
            <a:ln w="19050" cap="rnd">
              <a:solidFill>
                <a:srgbClr val="CC71E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Графики!$L$21:$L$29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Графики!$Q$21:$Q$29</c:f>
              <c:numCache>
                <c:formatCode>General</c:formatCode>
                <c:ptCount val="9"/>
                <c:pt idx="0">
                  <c:v>0.11232626800000001</c:v>
                </c:pt>
                <c:pt idx="1">
                  <c:v>-0.24120725100000001</c:v>
                </c:pt>
                <c:pt idx="2">
                  <c:v>-0.146855177</c:v>
                </c:pt>
                <c:pt idx="3">
                  <c:v>-3.5961460000000001E-2</c:v>
                </c:pt>
                <c:pt idx="4">
                  <c:v>-0.16008288600000001</c:v>
                </c:pt>
                <c:pt idx="5">
                  <c:v>-3.3151435E-2</c:v>
                </c:pt>
                <c:pt idx="6">
                  <c:v>0.193252387</c:v>
                </c:pt>
                <c:pt idx="7">
                  <c:v>0.149374644</c:v>
                </c:pt>
                <c:pt idx="8">
                  <c:v>0.13297952099999999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047-4073-A00C-B2D084D4ABE2}"/>
            </c:ext>
          </c:extLst>
        </c:ser>
        <c:ser>
          <c:idx val="5"/>
          <c:order val="5"/>
          <c:tx>
            <c:strRef>
              <c:f>Графики!$R$20</c:f>
              <c:strCache>
                <c:ptCount val="1"/>
                <c:pt idx="0">
                  <c:v>Кластер 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Графики!$L$21:$L$29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Графики!$R$21:$R$29</c:f>
              <c:numCache>
                <c:formatCode>General</c:formatCode>
                <c:ptCount val="9"/>
                <c:pt idx="0">
                  <c:v>-0.60614363199999999</c:v>
                </c:pt>
                <c:pt idx="1">
                  <c:v>1.0086743730000001</c:v>
                </c:pt>
                <c:pt idx="2">
                  <c:v>0.90382082699999999</c:v>
                </c:pt>
                <c:pt idx="3">
                  <c:v>-0.59788928200000002</c:v>
                </c:pt>
                <c:pt idx="4">
                  <c:v>0.59116439899999995</c:v>
                </c:pt>
                <c:pt idx="5">
                  <c:v>8.8004436000000005E-2</c:v>
                </c:pt>
                <c:pt idx="6">
                  <c:v>-1.2295682480000001</c:v>
                </c:pt>
                <c:pt idx="7">
                  <c:v>-0.90049388100000005</c:v>
                </c:pt>
                <c:pt idx="8">
                  <c:v>-0.309502836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47-4073-A00C-B2D084D4A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272031"/>
        <c:axId val="1264263295"/>
      </c:scatterChart>
      <c:valAx>
        <c:axId val="126427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4263295"/>
        <c:crosses val="autoZero"/>
        <c:crossBetween val="midCat"/>
      </c:valAx>
      <c:valAx>
        <c:axId val="126426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4272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График средних значений признаков в каждом кластере взвешенным методом Уорда</a:t>
            </a:r>
            <a:endParaRPr lang="ru-RU" sz="1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Графики!$W$20</c:f>
              <c:strCache>
                <c:ptCount val="1"/>
                <c:pt idx="0">
                  <c:v>Кластер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Графики!$V$21:$V$29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Графики!$W$21:$W$29</c:f>
              <c:numCache>
                <c:formatCode>General</c:formatCode>
                <c:ptCount val="9"/>
                <c:pt idx="0">
                  <c:v>-0.84188364100000002</c:v>
                </c:pt>
                <c:pt idx="1">
                  <c:v>0.09</c:v>
                </c:pt>
                <c:pt idx="2">
                  <c:v>-0.37</c:v>
                </c:pt>
                <c:pt idx="3">
                  <c:v>-0.19</c:v>
                </c:pt>
                <c:pt idx="4">
                  <c:v>2.83</c:v>
                </c:pt>
                <c:pt idx="5">
                  <c:v>0.94</c:v>
                </c:pt>
                <c:pt idx="6">
                  <c:v>-0.46</c:v>
                </c:pt>
                <c:pt idx="7">
                  <c:v>0</c:v>
                </c:pt>
                <c:pt idx="8">
                  <c:v>-0.81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0-418B-BCB0-6F1D807C0C68}"/>
            </c:ext>
          </c:extLst>
        </c:ser>
        <c:ser>
          <c:idx val="1"/>
          <c:order val="1"/>
          <c:tx>
            <c:strRef>
              <c:f>Графики!$X$20</c:f>
              <c:strCache>
                <c:ptCount val="1"/>
                <c:pt idx="0">
                  <c:v>Кластер 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Графики!$V$21:$V$29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Графики!$X$21:$X$29</c:f>
              <c:numCache>
                <c:formatCode>General</c:formatCode>
                <c:ptCount val="9"/>
                <c:pt idx="0">
                  <c:v>-0.31328332399999997</c:v>
                </c:pt>
                <c:pt idx="1">
                  <c:v>0.91</c:v>
                </c:pt>
                <c:pt idx="2">
                  <c:v>1</c:v>
                </c:pt>
                <c:pt idx="3">
                  <c:v>-0.57999999999999996</c:v>
                </c:pt>
                <c:pt idx="4">
                  <c:v>-0.5</c:v>
                </c:pt>
                <c:pt idx="5">
                  <c:v>-0.02</c:v>
                </c:pt>
                <c:pt idx="6">
                  <c:v>-1.03</c:v>
                </c:pt>
                <c:pt idx="7">
                  <c:v>-0.5</c:v>
                </c:pt>
                <c:pt idx="8">
                  <c:v>-0.57999999999999996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60-418B-BCB0-6F1D807C0C68}"/>
            </c:ext>
          </c:extLst>
        </c:ser>
        <c:ser>
          <c:idx val="2"/>
          <c:order val="2"/>
          <c:tx>
            <c:strRef>
              <c:f>Графики!$Y$20</c:f>
              <c:strCache>
                <c:ptCount val="1"/>
                <c:pt idx="0">
                  <c:v>Кластер 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Графики!$V$21:$V$29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Графики!$Y$21:$Y$29</c:f>
              <c:numCache>
                <c:formatCode>General</c:formatCode>
                <c:ptCount val="9"/>
                <c:pt idx="0">
                  <c:v>-0.177519383</c:v>
                </c:pt>
                <c:pt idx="1">
                  <c:v>-8.1254723000000001E-2</c:v>
                </c:pt>
                <c:pt idx="2">
                  <c:v>-5.9440279999999998E-2</c:v>
                </c:pt>
                <c:pt idx="3">
                  <c:v>-0.19379722199999999</c:v>
                </c:pt>
                <c:pt idx="4">
                  <c:v>-7.3696391999999999E-2</c:v>
                </c:pt>
                <c:pt idx="5">
                  <c:v>0.17738873299999999</c:v>
                </c:pt>
                <c:pt idx="6">
                  <c:v>0.163160054</c:v>
                </c:pt>
                <c:pt idx="7">
                  <c:v>0.22719766999999999</c:v>
                </c:pt>
                <c:pt idx="8">
                  <c:v>0.135524173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660-418B-BCB0-6F1D807C0C68}"/>
            </c:ext>
          </c:extLst>
        </c:ser>
        <c:ser>
          <c:idx val="3"/>
          <c:order val="3"/>
          <c:tx>
            <c:strRef>
              <c:f>Графики!$Z$20</c:f>
              <c:strCache>
                <c:ptCount val="1"/>
                <c:pt idx="0">
                  <c:v>Кластер 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Графики!$V$21:$V$29</c:f>
              <c:strCache>
                <c:ptCount val="9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</c:strCache>
            </c:strRef>
          </c:xVal>
          <c:yVal>
            <c:numRef>
              <c:f>Графики!$Z$21:$Z$29</c:f>
              <c:numCache>
                <c:formatCode>General</c:formatCode>
                <c:ptCount val="9"/>
                <c:pt idx="0">
                  <c:v>1.194693408</c:v>
                </c:pt>
                <c:pt idx="1">
                  <c:v>-0.73306291499999998</c:v>
                </c:pt>
                <c:pt idx="2">
                  <c:v>-0.747729223</c:v>
                </c:pt>
                <c:pt idx="3">
                  <c:v>1.3148216930000001</c:v>
                </c:pt>
                <c:pt idx="4">
                  <c:v>-0.165797323</c:v>
                </c:pt>
                <c:pt idx="5">
                  <c:v>-0.87450652399999995</c:v>
                </c:pt>
                <c:pt idx="6">
                  <c:v>0.71988021599999996</c:v>
                </c:pt>
                <c:pt idx="7">
                  <c:v>-0.21376899999999999</c:v>
                </c:pt>
                <c:pt idx="8">
                  <c:v>0.44253549199999997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60-418B-BCB0-6F1D807C0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761839"/>
        <c:axId val="1477753935"/>
      </c:scatterChart>
      <c:valAx>
        <c:axId val="147776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7753935"/>
        <c:crosses val="autoZero"/>
        <c:crossBetween val="midCat"/>
      </c:valAx>
      <c:valAx>
        <c:axId val="147775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7761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498231</xdr:colOff>
      <xdr:row>18</xdr:row>
      <xdr:rowOff>23447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EBAE68C-7388-4607-9AC6-7496F8D41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197302</xdr:colOff>
      <xdr:row>0</xdr:row>
      <xdr:rowOff>26534</xdr:rowOff>
    </xdr:from>
    <xdr:to>
      <xdr:col>18</xdr:col>
      <xdr:colOff>394607</xdr:colOff>
      <xdr:row>18</xdr:row>
      <xdr:rowOff>88446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F131ADA-C3B4-4840-95C2-C80C3DC85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523873</xdr:colOff>
      <xdr:row>0</xdr:row>
      <xdr:rowOff>0</xdr:rowOff>
    </xdr:from>
    <xdr:to>
      <xdr:col>30</xdr:col>
      <xdr:colOff>6802</xdr:colOff>
      <xdr:row>18</xdr:row>
      <xdr:rowOff>40820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B736B76-41A9-44A1-A714-E4E8E9BCC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EB40-3B78-44FB-9BDD-4BD1498E1DB9}">
  <dimension ref="A1:M86"/>
  <sheetViews>
    <sheetView zoomScale="122" zoomScaleNormal="145" workbookViewId="0">
      <selection activeCell="D5" sqref="D5"/>
    </sheetView>
  </sheetViews>
  <sheetFormatPr defaultRowHeight="14.4"/>
  <cols>
    <col min="1" max="1" width="12.44140625" bestFit="1" customWidth="1"/>
    <col min="2" max="4" width="12.6640625" bestFit="1" customWidth="1"/>
    <col min="5" max="5" width="5.44140625" bestFit="1" customWidth="1"/>
    <col min="6" max="6" width="4" bestFit="1" customWidth="1"/>
    <col min="7" max="7" width="12.6640625" bestFit="1" customWidth="1"/>
    <col min="8" max="10" width="5.44140625" bestFit="1" customWidth="1"/>
    <col min="12" max="12" width="12.6640625" bestFit="1" customWidth="1"/>
    <col min="13" max="13" width="82.21875" bestFit="1" customWidth="1"/>
  </cols>
  <sheetData>
    <row r="1" spans="1:13">
      <c r="A1" s="7" t="s">
        <v>105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L1" s="3" t="s">
        <v>16</v>
      </c>
      <c r="M1" s="4" t="s">
        <v>15</v>
      </c>
    </row>
    <row r="2" spans="1:13" ht="26.4">
      <c r="A2" s="9" t="s">
        <v>20</v>
      </c>
      <c r="B2" s="10">
        <v>141</v>
      </c>
      <c r="C2" s="10">
        <v>313.60000000000002</v>
      </c>
      <c r="D2" s="10">
        <v>773.9</v>
      </c>
      <c r="E2" s="10">
        <v>698</v>
      </c>
      <c r="F2" s="10">
        <v>90</v>
      </c>
      <c r="G2" s="10">
        <v>78.3</v>
      </c>
      <c r="H2" s="10">
        <v>112.4</v>
      </c>
      <c r="I2" s="10">
        <v>105.3</v>
      </c>
      <c r="J2" s="10">
        <v>111.4</v>
      </c>
      <c r="L2" s="1" t="s">
        <v>0</v>
      </c>
      <c r="M2" s="2" t="s">
        <v>9</v>
      </c>
    </row>
    <row r="3" spans="1:13" ht="26.4">
      <c r="A3" s="9" t="s">
        <v>21</v>
      </c>
      <c r="B3" s="10">
        <v>132.6</v>
      </c>
      <c r="C3" s="10">
        <v>324.10000000000002</v>
      </c>
      <c r="D3" s="10">
        <v>822.6</v>
      </c>
      <c r="E3" s="10">
        <v>332</v>
      </c>
      <c r="F3" s="10">
        <v>120</v>
      </c>
      <c r="G3" s="10">
        <v>44</v>
      </c>
      <c r="H3" s="10">
        <v>110.9</v>
      </c>
      <c r="I3" s="10">
        <v>107.6</v>
      </c>
      <c r="J3" s="10">
        <v>107</v>
      </c>
      <c r="L3" s="1" t="s">
        <v>1</v>
      </c>
      <c r="M3" s="2" t="s">
        <v>10</v>
      </c>
    </row>
    <row r="4" spans="1:13" ht="26.4">
      <c r="A4" s="9" t="s">
        <v>22</v>
      </c>
      <c r="B4" s="10">
        <v>122.5</v>
      </c>
      <c r="C4" s="10">
        <v>400.9</v>
      </c>
      <c r="D4" s="75">
        <v>1021.1</v>
      </c>
      <c r="E4" s="10">
        <v>400</v>
      </c>
      <c r="F4" s="10">
        <v>72</v>
      </c>
      <c r="G4" s="10">
        <v>143</v>
      </c>
      <c r="H4" s="10">
        <v>110.8</v>
      </c>
      <c r="I4" s="10">
        <v>115.9</v>
      </c>
      <c r="J4" s="10">
        <v>102</v>
      </c>
      <c r="L4" s="1" t="s">
        <v>2</v>
      </c>
      <c r="M4" s="2" t="s">
        <v>11</v>
      </c>
    </row>
    <row r="5" spans="1:13" ht="26.4">
      <c r="A5" s="9" t="s">
        <v>23</v>
      </c>
      <c r="B5" s="10">
        <v>129.30000000000001</v>
      </c>
      <c r="C5" s="10">
        <v>279</v>
      </c>
      <c r="D5" s="10">
        <v>591.79999999999995</v>
      </c>
      <c r="E5" s="10">
        <v>440</v>
      </c>
      <c r="F5" s="10">
        <v>105</v>
      </c>
      <c r="G5" s="10">
        <v>113</v>
      </c>
      <c r="H5" s="10">
        <v>111.9</v>
      </c>
      <c r="I5" s="10">
        <v>112.8</v>
      </c>
      <c r="J5" s="10">
        <v>111.7</v>
      </c>
      <c r="L5" s="1" t="s">
        <v>3</v>
      </c>
      <c r="M5" s="2" t="s">
        <v>17</v>
      </c>
    </row>
    <row r="6" spans="1:13" ht="26.4">
      <c r="A6" s="9" t="s">
        <v>24</v>
      </c>
      <c r="B6" s="10">
        <v>109.3</v>
      </c>
      <c r="C6" s="10">
        <v>293</v>
      </c>
      <c r="D6" s="10">
        <v>805.7</v>
      </c>
      <c r="E6" s="10">
        <v>340</v>
      </c>
      <c r="F6" s="10">
        <v>118</v>
      </c>
      <c r="G6" s="10">
        <v>117.6</v>
      </c>
      <c r="H6" s="10">
        <v>111.2</v>
      </c>
      <c r="I6" s="10">
        <v>107.2</v>
      </c>
      <c r="J6" s="10">
        <v>101.6</v>
      </c>
      <c r="L6" s="1" t="s">
        <v>4</v>
      </c>
      <c r="M6" s="2" t="s">
        <v>18</v>
      </c>
    </row>
    <row r="7" spans="1:13" ht="26.4">
      <c r="A7" s="9" t="s">
        <v>25</v>
      </c>
      <c r="B7" s="10">
        <v>151.1</v>
      </c>
      <c r="C7" s="10">
        <v>268.5</v>
      </c>
      <c r="D7" s="75">
        <v>1072.3</v>
      </c>
      <c r="E7" s="10">
        <v>367</v>
      </c>
      <c r="F7" s="10">
        <v>108</v>
      </c>
      <c r="G7" s="10">
        <v>104.7</v>
      </c>
      <c r="H7" s="10">
        <v>110.8</v>
      </c>
      <c r="I7" s="10">
        <v>107.4</v>
      </c>
      <c r="J7" s="10">
        <v>107.3</v>
      </c>
      <c r="L7" s="1" t="s">
        <v>5</v>
      </c>
      <c r="M7" s="2" t="s">
        <v>19</v>
      </c>
    </row>
    <row r="8" spans="1:13" ht="26.4">
      <c r="A8" s="9" t="s">
        <v>26</v>
      </c>
      <c r="B8" s="10">
        <v>101.5</v>
      </c>
      <c r="C8" s="10">
        <v>319.10000000000002</v>
      </c>
      <c r="D8" s="10">
        <v>777.2</v>
      </c>
      <c r="E8" s="10">
        <v>140</v>
      </c>
      <c r="F8" s="10">
        <v>103</v>
      </c>
      <c r="G8" s="10">
        <v>173.4</v>
      </c>
      <c r="H8" s="10">
        <v>110.5</v>
      </c>
      <c r="I8" s="10">
        <v>109.3</v>
      </c>
      <c r="J8" s="10">
        <v>97.4</v>
      </c>
      <c r="L8" s="1" t="s">
        <v>6</v>
      </c>
      <c r="M8" s="2" t="s">
        <v>12</v>
      </c>
    </row>
    <row r="9" spans="1:13" ht="26.4">
      <c r="A9" s="9" t="s">
        <v>27</v>
      </c>
      <c r="B9" s="10">
        <v>124.6</v>
      </c>
      <c r="C9" s="10">
        <v>293.39999999999998</v>
      </c>
      <c r="D9" s="10">
        <v>578.1</v>
      </c>
      <c r="E9" s="10">
        <v>378</v>
      </c>
      <c r="F9" s="10">
        <v>95</v>
      </c>
      <c r="G9" s="10">
        <v>112.3</v>
      </c>
      <c r="H9" s="10">
        <v>112.3</v>
      </c>
      <c r="I9" s="10">
        <v>112.2</v>
      </c>
      <c r="J9" s="10">
        <v>102.5</v>
      </c>
      <c r="L9" s="1" t="s">
        <v>7</v>
      </c>
      <c r="M9" s="2" t="s">
        <v>13</v>
      </c>
    </row>
    <row r="10" spans="1:13" ht="26.4">
      <c r="A10" s="9" t="s">
        <v>28</v>
      </c>
      <c r="B10" s="10">
        <v>123.2</v>
      </c>
      <c r="C10" s="10">
        <v>371.1</v>
      </c>
      <c r="D10" s="10">
        <v>642.5</v>
      </c>
      <c r="E10" s="10">
        <v>572</v>
      </c>
      <c r="F10" s="10">
        <v>115</v>
      </c>
      <c r="G10" s="10">
        <v>100.7</v>
      </c>
      <c r="H10" s="10">
        <v>112.7</v>
      </c>
      <c r="I10" s="10">
        <v>105.9</v>
      </c>
      <c r="J10" s="10">
        <v>110.8</v>
      </c>
      <c r="L10" s="1" t="s">
        <v>8</v>
      </c>
      <c r="M10" s="2" t="s">
        <v>14</v>
      </c>
    </row>
    <row r="11" spans="1:13" ht="26.4">
      <c r="A11" s="9" t="s">
        <v>29</v>
      </c>
      <c r="B11" s="10">
        <v>162.9</v>
      </c>
      <c r="C11" s="10">
        <v>251.5</v>
      </c>
      <c r="D11" s="10">
        <v>687.6</v>
      </c>
      <c r="E11" s="10">
        <v>862</v>
      </c>
      <c r="F11" s="10">
        <v>111</v>
      </c>
      <c r="G11" s="10">
        <v>45.1</v>
      </c>
      <c r="H11" s="10">
        <v>111.2</v>
      </c>
      <c r="I11" s="10">
        <v>100.8</v>
      </c>
      <c r="J11" s="10">
        <v>119.9</v>
      </c>
    </row>
    <row r="12" spans="1:13" ht="26.4">
      <c r="A12" s="9" t="s">
        <v>30</v>
      </c>
      <c r="B12" s="10">
        <v>117.4</v>
      </c>
      <c r="C12" s="10">
        <v>314.39999999999998</v>
      </c>
      <c r="D12" s="75">
        <v>1121.0999999999999</v>
      </c>
      <c r="E12" s="10">
        <v>412</v>
      </c>
      <c r="F12" s="10">
        <v>101</v>
      </c>
      <c r="G12" s="10">
        <v>95.6</v>
      </c>
      <c r="H12" s="10">
        <v>111.8</v>
      </c>
      <c r="I12" s="10">
        <v>106.8</v>
      </c>
      <c r="J12" s="10">
        <v>119.2</v>
      </c>
    </row>
    <row r="13" spans="1:13" ht="26.4">
      <c r="A13" s="9" t="s">
        <v>31</v>
      </c>
      <c r="B13" s="10">
        <v>142.4</v>
      </c>
      <c r="C13" s="10">
        <v>283.7</v>
      </c>
      <c r="D13" s="10">
        <v>812.9</v>
      </c>
      <c r="E13" s="10">
        <v>287</v>
      </c>
      <c r="F13" s="10">
        <v>97</v>
      </c>
      <c r="G13" s="10">
        <v>133.4</v>
      </c>
      <c r="H13" s="10">
        <v>111.1</v>
      </c>
      <c r="I13" s="10">
        <v>109.4</v>
      </c>
      <c r="J13" s="10">
        <v>109.6</v>
      </c>
    </row>
    <row r="14" spans="1:13" ht="26.4">
      <c r="A14" s="9" t="s">
        <v>32</v>
      </c>
      <c r="B14" s="10">
        <v>108.4</v>
      </c>
      <c r="C14" s="10">
        <v>344.2</v>
      </c>
      <c r="D14" s="10">
        <v>653</v>
      </c>
      <c r="E14" s="10">
        <v>338</v>
      </c>
      <c r="F14" s="10">
        <v>111</v>
      </c>
      <c r="G14" s="10">
        <v>97.8</v>
      </c>
      <c r="H14" s="10">
        <v>111.1</v>
      </c>
      <c r="I14" s="10">
        <v>111.1</v>
      </c>
      <c r="J14" s="10">
        <v>118.7</v>
      </c>
    </row>
    <row r="15" spans="1:13" ht="26.4">
      <c r="A15" s="9" t="s">
        <v>33</v>
      </c>
      <c r="B15" s="10">
        <v>127.9</v>
      </c>
      <c r="C15" s="10">
        <v>325.10000000000002</v>
      </c>
      <c r="D15" s="10">
        <v>683.7</v>
      </c>
      <c r="E15" s="10">
        <v>297</v>
      </c>
      <c r="F15" s="10">
        <v>84</v>
      </c>
      <c r="G15" s="10">
        <v>110.7</v>
      </c>
      <c r="H15" s="10">
        <v>113.6</v>
      </c>
      <c r="I15" s="10">
        <v>109.9</v>
      </c>
      <c r="J15" s="10">
        <v>129.30000000000001</v>
      </c>
    </row>
    <row r="16" spans="1:13" ht="26.4">
      <c r="A16" s="9" t="s">
        <v>34</v>
      </c>
      <c r="B16" s="10">
        <v>108.1</v>
      </c>
      <c r="C16" s="10">
        <v>265.5</v>
      </c>
      <c r="D16" s="10">
        <v>806.4</v>
      </c>
      <c r="E16" s="10">
        <v>255</v>
      </c>
      <c r="F16" s="10">
        <v>83</v>
      </c>
      <c r="G16" s="10">
        <v>119.7</v>
      </c>
      <c r="H16" s="10">
        <v>112.2</v>
      </c>
      <c r="I16" s="10">
        <v>109.2</v>
      </c>
      <c r="J16" s="10">
        <v>110.9</v>
      </c>
    </row>
    <row r="17" spans="1:10" ht="26.4">
      <c r="A17" s="9" t="s">
        <v>35</v>
      </c>
      <c r="B17" s="10">
        <v>126.4</v>
      </c>
      <c r="C17" s="10">
        <v>279</v>
      </c>
      <c r="D17" s="10">
        <v>741.1</v>
      </c>
      <c r="E17" s="10">
        <v>430</v>
      </c>
      <c r="F17" s="10">
        <v>130</v>
      </c>
      <c r="G17" s="10">
        <v>115.5</v>
      </c>
      <c r="H17" s="10">
        <v>111.7</v>
      </c>
      <c r="I17" s="10">
        <v>108.7</v>
      </c>
      <c r="J17" s="10">
        <v>118.8</v>
      </c>
    </row>
    <row r="18" spans="1:10" ht="26.4">
      <c r="A18" s="9" t="s">
        <v>36</v>
      </c>
      <c r="B18" s="10">
        <v>110.1</v>
      </c>
      <c r="C18" s="10">
        <v>322.5</v>
      </c>
      <c r="D18" s="10">
        <v>888.9</v>
      </c>
      <c r="E18" s="10">
        <v>289</v>
      </c>
      <c r="F18" s="10">
        <v>116</v>
      </c>
      <c r="G18" s="10">
        <v>117.8</v>
      </c>
      <c r="H18" s="10">
        <v>112.2</v>
      </c>
      <c r="I18" s="10">
        <v>106.7</v>
      </c>
      <c r="J18" s="10">
        <v>113.3</v>
      </c>
    </row>
    <row r="19" spans="1:10">
      <c r="A19" s="9" t="s">
        <v>37</v>
      </c>
      <c r="B19" s="10">
        <v>175.6</v>
      </c>
      <c r="C19" s="10">
        <v>535.4</v>
      </c>
      <c r="D19" s="10">
        <v>674</v>
      </c>
      <c r="E19" s="76">
        <v>2559</v>
      </c>
      <c r="F19" s="10">
        <v>71</v>
      </c>
      <c r="G19" s="10">
        <v>67.7</v>
      </c>
      <c r="H19" s="10">
        <v>111.2</v>
      </c>
      <c r="I19" s="10">
        <v>107.9</v>
      </c>
      <c r="J19" s="10">
        <v>105.2</v>
      </c>
    </row>
    <row r="20" spans="1:10" ht="26.4">
      <c r="A20" s="9" t="s">
        <v>38</v>
      </c>
      <c r="B20" s="10">
        <v>121.3</v>
      </c>
      <c r="C20" s="10">
        <v>361</v>
      </c>
      <c r="D20" s="75">
        <v>1486.9</v>
      </c>
      <c r="E20" s="10">
        <v>49</v>
      </c>
      <c r="F20" s="10">
        <v>78</v>
      </c>
      <c r="G20" s="10">
        <v>140.80000000000001</v>
      </c>
      <c r="H20" s="10">
        <v>110.5</v>
      </c>
      <c r="I20" s="10">
        <v>107.3</v>
      </c>
      <c r="J20" s="10">
        <v>106.6</v>
      </c>
    </row>
    <row r="21" spans="1:10" ht="26.4">
      <c r="A21" s="9" t="s">
        <v>39</v>
      </c>
      <c r="B21" s="10">
        <v>96.2</v>
      </c>
      <c r="C21" s="10">
        <v>474.3</v>
      </c>
      <c r="D21" s="75">
        <v>1189.8</v>
      </c>
      <c r="E21" s="10">
        <v>17</v>
      </c>
      <c r="F21" s="10">
        <v>98</v>
      </c>
      <c r="G21" s="10">
        <v>119.3</v>
      </c>
      <c r="H21" s="10">
        <v>108.1</v>
      </c>
      <c r="I21" s="10">
        <v>114</v>
      </c>
      <c r="J21" s="10">
        <v>87.2</v>
      </c>
    </row>
    <row r="22" spans="1:10" ht="39.6">
      <c r="A22" s="11" t="s">
        <v>40</v>
      </c>
      <c r="B22" s="77">
        <v>179.1</v>
      </c>
      <c r="C22" s="77">
        <v>284.89999999999998</v>
      </c>
      <c r="D22" s="75">
        <v>1350.3</v>
      </c>
      <c r="E22" s="10">
        <v>1.9</v>
      </c>
      <c r="F22" s="10">
        <v>93</v>
      </c>
      <c r="G22" s="10">
        <v>40.4</v>
      </c>
      <c r="H22" s="10">
        <v>107</v>
      </c>
      <c r="I22" s="10">
        <v>96.7</v>
      </c>
      <c r="J22" s="10">
        <v>105.5</v>
      </c>
    </row>
    <row r="23" spans="1:10" ht="52.8">
      <c r="A23" s="9" t="s">
        <v>41</v>
      </c>
      <c r="B23" s="77">
        <v>109.8</v>
      </c>
      <c r="C23" s="10">
        <v>454</v>
      </c>
      <c r="D23" s="75">
        <v>1090.4000000000001</v>
      </c>
      <c r="E23" s="10">
        <v>30</v>
      </c>
      <c r="F23" s="10">
        <v>93</v>
      </c>
      <c r="G23" s="10">
        <v>77.3</v>
      </c>
      <c r="H23" s="10">
        <v>108.6</v>
      </c>
      <c r="I23" s="9">
        <v>101.9</v>
      </c>
      <c r="J23" s="10">
        <v>105.3</v>
      </c>
    </row>
    <row r="24" spans="1:10" ht="26.4">
      <c r="A24" s="9" t="s">
        <v>42</v>
      </c>
      <c r="B24" s="10">
        <v>131.30000000000001</v>
      </c>
      <c r="C24" s="10">
        <v>349.9</v>
      </c>
      <c r="D24" s="75">
        <v>1085.5</v>
      </c>
      <c r="E24" s="10">
        <v>112</v>
      </c>
      <c r="F24" s="10">
        <v>76</v>
      </c>
      <c r="G24" s="10">
        <v>117.6</v>
      </c>
      <c r="H24" s="10">
        <v>109.3</v>
      </c>
      <c r="I24" s="10">
        <v>103.4</v>
      </c>
      <c r="J24" s="10">
        <v>106.6</v>
      </c>
    </row>
    <row r="25" spans="1:10" ht="26.4">
      <c r="A25" s="9" t="s">
        <v>43</v>
      </c>
      <c r="B25" s="10">
        <v>123.8</v>
      </c>
      <c r="C25" s="10">
        <v>354.2</v>
      </c>
      <c r="D25" s="10">
        <v>793.6</v>
      </c>
      <c r="E25" s="10">
        <v>520</v>
      </c>
      <c r="F25" s="10">
        <v>106</v>
      </c>
      <c r="G25" s="10">
        <v>103.3</v>
      </c>
      <c r="H25" s="10">
        <v>112.4</v>
      </c>
      <c r="I25" s="10">
        <v>110.8</v>
      </c>
      <c r="J25" s="10">
        <v>119.2</v>
      </c>
    </row>
    <row r="26" spans="1:10" ht="26.4">
      <c r="A26" s="9" t="s">
        <v>44</v>
      </c>
      <c r="B26" s="10">
        <v>175.7</v>
      </c>
      <c r="C26" s="10">
        <v>247.8</v>
      </c>
      <c r="D26" s="10">
        <v>687</v>
      </c>
      <c r="E26" s="10">
        <v>223</v>
      </c>
      <c r="F26" s="10">
        <v>83</v>
      </c>
      <c r="G26" s="10">
        <v>85.1</v>
      </c>
      <c r="H26" s="10">
        <v>111.4</v>
      </c>
      <c r="I26" s="10">
        <v>102.8</v>
      </c>
      <c r="J26" s="10">
        <v>100.5</v>
      </c>
    </row>
    <row r="27" spans="1:10" ht="26.4">
      <c r="A27" s="9" t="s">
        <v>45</v>
      </c>
      <c r="B27" s="10">
        <v>99.2</v>
      </c>
      <c r="C27" s="10">
        <v>344.6</v>
      </c>
      <c r="D27" s="10">
        <v>919.8</v>
      </c>
      <c r="E27" s="10">
        <v>24</v>
      </c>
      <c r="F27" s="10">
        <v>104</v>
      </c>
      <c r="G27" s="10">
        <v>97.1</v>
      </c>
      <c r="H27" s="10">
        <v>111.6</v>
      </c>
      <c r="I27" s="10">
        <v>90.2</v>
      </c>
      <c r="J27" s="10">
        <v>105.4</v>
      </c>
    </row>
    <row r="28" spans="1:10" ht="26.4">
      <c r="A28" s="9" t="s">
        <v>46</v>
      </c>
      <c r="B28" s="10">
        <v>120.6</v>
      </c>
      <c r="C28" s="10">
        <v>595.79999999999995</v>
      </c>
      <c r="D28" s="10">
        <v>751.6</v>
      </c>
      <c r="E28" s="10">
        <v>201</v>
      </c>
      <c r="F28" s="10">
        <v>90</v>
      </c>
      <c r="G28" s="10">
        <v>122.6</v>
      </c>
      <c r="H28" s="10">
        <v>109.8</v>
      </c>
      <c r="I28" s="10">
        <v>111.8</v>
      </c>
      <c r="J28" s="10">
        <v>110.6</v>
      </c>
    </row>
    <row r="29" spans="1:10" ht="26.4">
      <c r="A29" s="9" t="s">
        <v>47</v>
      </c>
      <c r="B29" s="10">
        <v>105.8</v>
      </c>
      <c r="C29" s="10">
        <v>336.7</v>
      </c>
      <c r="D29" s="10">
        <v>728.7</v>
      </c>
      <c r="E29" s="10">
        <v>316</v>
      </c>
      <c r="F29" s="10">
        <v>151</v>
      </c>
      <c r="G29" s="10">
        <v>134</v>
      </c>
      <c r="H29" s="10">
        <v>107.7</v>
      </c>
      <c r="I29" s="10">
        <v>105.6</v>
      </c>
      <c r="J29" s="10">
        <v>101.4</v>
      </c>
    </row>
    <row r="30" spans="1:10" ht="26.4">
      <c r="A30" s="9" t="s">
        <v>48</v>
      </c>
      <c r="B30" s="10">
        <v>116.3</v>
      </c>
      <c r="C30" s="10">
        <v>398.1</v>
      </c>
      <c r="D30" s="75">
        <v>1014.9</v>
      </c>
      <c r="E30" s="76">
        <v>2555</v>
      </c>
      <c r="F30" s="10">
        <v>105</v>
      </c>
      <c r="G30" s="10">
        <v>71.2</v>
      </c>
      <c r="H30" s="10">
        <v>111</v>
      </c>
      <c r="I30" s="10">
        <v>105.6</v>
      </c>
      <c r="J30" s="10">
        <v>116.4</v>
      </c>
    </row>
    <row r="31" spans="1:10" ht="26.4">
      <c r="A31" s="9" t="s">
        <v>49</v>
      </c>
      <c r="B31" s="10">
        <v>154.80000000000001</v>
      </c>
      <c r="C31" s="10">
        <v>265</v>
      </c>
      <c r="D31" s="10">
        <v>615.4</v>
      </c>
      <c r="E31" s="10">
        <v>576</v>
      </c>
      <c r="F31" s="10">
        <v>82</v>
      </c>
      <c r="G31" s="10">
        <v>89.1</v>
      </c>
      <c r="H31" s="10">
        <v>107.2</v>
      </c>
      <c r="I31" s="10">
        <v>113.5</v>
      </c>
      <c r="J31" s="10">
        <v>99.7</v>
      </c>
    </row>
    <row r="32" spans="1:10" ht="26.4">
      <c r="A32" s="9" t="s">
        <v>50</v>
      </c>
      <c r="B32" s="10">
        <v>142.19999999999999</v>
      </c>
      <c r="C32" s="10">
        <v>291.8</v>
      </c>
      <c r="D32" s="10">
        <v>656.8</v>
      </c>
      <c r="E32" s="10">
        <v>52</v>
      </c>
      <c r="F32" s="10">
        <v>87</v>
      </c>
      <c r="G32" s="10">
        <v>223.8</v>
      </c>
      <c r="H32" s="10">
        <v>113.2</v>
      </c>
      <c r="I32" s="10">
        <v>109.1</v>
      </c>
      <c r="J32" s="10">
        <v>108.9</v>
      </c>
    </row>
    <row r="33" spans="1:10" ht="26.4">
      <c r="A33" s="9" t="s">
        <v>51</v>
      </c>
      <c r="B33" s="10">
        <v>122.1</v>
      </c>
      <c r="C33" s="10">
        <v>209.5</v>
      </c>
      <c r="D33" s="10">
        <v>606.20000000000005</v>
      </c>
      <c r="E33" s="10">
        <v>517</v>
      </c>
      <c r="F33" s="10">
        <v>111</v>
      </c>
      <c r="G33" s="10">
        <v>68.3</v>
      </c>
      <c r="H33" s="10">
        <v>112.2</v>
      </c>
      <c r="I33" s="10">
        <v>121.8</v>
      </c>
      <c r="J33" s="10">
        <v>113.7</v>
      </c>
    </row>
    <row r="34" spans="1:10" ht="26.4">
      <c r="A34" s="9" t="s">
        <v>52</v>
      </c>
      <c r="B34" s="10">
        <v>136.4</v>
      </c>
      <c r="C34" s="10">
        <v>251.6</v>
      </c>
      <c r="D34" s="10">
        <v>691.5</v>
      </c>
      <c r="E34" s="10">
        <v>489</v>
      </c>
      <c r="F34" s="10">
        <v>93</v>
      </c>
      <c r="G34" s="10">
        <v>105.4</v>
      </c>
      <c r="H34" s="10">
        <v>111.9</v>
      </c>
      <c r="I34" s="10">
        <v>101.9</v>
      </c>
      <c r="J34" s="10">
        <v>112.2</v>
      </c>
    </row>
    <row r="35" spans="1:10" ht="26.4">
      <c r="A35" s="9" t="s">
        <v>53</v>
      </c>
      <c r="B35" s="10">
        <v>116.1</v>
      </c>
      <c r="C35" s="10">
        <v>286.7</v>
      </c>
      <c r="D35" s="10">
        <v>680.1</v>
      </c>
      <c r="E35" s="10">
        <v>85</v>
      </c>
      <c r="F35" s="10">
        <v>111</v>
      </c>
      <c r="G35" s="10">
        <v>99.7</v>
      </c>
      <c r="H35" s="10">
        <v>110.1</v>
      </c>
      <c r="I35" s="10">
        <v>117.8</v>
      </c>
      <c r="J35" s="10">
        <v>108.7</v>
      </c>
    </row>
    <row r="36" spans="1:10" ht="26.4">
      <c r="A36" s="9" t="s">
        <v>54</v>
      </c>
      <c r="B36" s="10">
        <v>114.3</v>
      </c>
      <c r="C36" s="10">
        <v>284.3</v>
      </c>
      <c r="D36" s="10">
        <v>641.6</v>
      </c>
      <c r="E36" s="10">
        <v>155</v>
      </c>
      <c r="F36" s="10">
        <v>80</v>
      </c>
      <c r="G36" s="10">
        <v>100.7</v>
      </c>
      <c r="H36" s="10">
        <v>110.9</v>
      </c>
      <c r="I36" s="10">
        <v>114.8</v>
      </c>
      <c r="J36" s="10">
        <v>121.8</v>
      </c>
    </row>
    <row r="37" spans="1:10" ht="26.4">
      <c r="A37" s="9" t="s">
        <v>55</v>
      </c>
      <c r="B37" s="10">
        <v>115.5</v>
      </c>
      <c r="C37" s="10">
        <v>379.6</v>
      </c>
      <c r="D37" s="10">
        <v>783.9</v>
      </c>
      <c r="E37" s="10">
        <v>276</v>
      </c>
      <c r="F37" s="10">
        <v>83</v>
      </c>
      <c r="G37" s="10">
        <v>70.8</v>
      </c>
      <c r="H37" s="10">
        <v>112.5</v>
      </c>
      <c r="I37" s="10">
        <v>114</v>
      </c>
      <c r="J37" s="10">
        <v>113</v>
      </c>
    </row>
    <row r="38" spans="1:10" ht="26.4">
      <c r="A38" s="9" t="s">
        <v>56</v>
      </c>
      <c r="B38" s="10">
        <v>150.6</v>
      </c>
      <c r="C38" s="10">
        <v>205.4</v>
      </c>
      <c r="D38" s="10">
        <v>516.6</v>
      </c>
      <c r="E38" s="76">
        <v>1204</v>
      </c>
      <c r="F38" s="10">
        <v>120</v>
      </c>
      <c r="G38" s="10">
        <v>78.099999999999994</v>
      </c>
      <c r="H38" s="10">
        <v>113</v>
      </c>
      <c r="I38" s="10">
        <v>122.7</v>
      </c>
      <c r="J38" s="10">
        <v>113.7</v>
      </c>
    </row>
    <row r="39" spans="1:10" ht="26.4">
      <c r="A39" s="9" t="s">
        <v>57</v>
      </c>
      <c r="B39" s="10">
        <v>141.4</v>
      </c>
      <c r="C39" s="10">
        <v>106.9</v>
      </c>
      <c r="D39" s="10">
        <v>790.6</v>
      </c>
      <c r="E39" s="10">
        <v>460</v>
      </c>
      <c r="F39" s="10">
        <v>86</v>
      </c>
      <c r="G39" s="10">
        <v>50.8</v>
      </c>
      <c r="H39" s="10">
        <v>114.4</v>
      </c>
      <c r="I39" s="10">
        <v>111.9</v>
      </c>
      <c r="J39" s="10">
        <v>111.9</v>
      </c>
    </row>
    <row r="40" spans="1:10" ht="26.4">
      <c r="A40" s="9" t="s">
        <v>58</v>
      </c>
      <c r="B40" s="10">
        <v>223.8</v>
      </c>
      <c r="C40" s="10">
        <v>164.1</v>
      </c>
      <c r="D40" s="10">
        <v>507.5</v>
      </c>
      <c r="E40" s="76">
        <v>1051</v>
      </c>
      <c r="F40" s="10">
        <v>93</v>
      </c>
      <c r="G40" s="10">
        <v>38.200000000000003</v>
      </c>
      <c r="H40" s="10">
        <v>110.1</v>
      </c>
      <c r="I40" s="10">
        <v>116.1</v>
      </c>
      <c r="J40" s="10">
        <v>109.9</v>
      </c>
    </row>
    <row r="41" spans="1:10" ht="39.6">
      <c r="A41" s="9" t="s">
        <v>59</v>
      </c>
      <c r="B41" s="10">
        <v>147.9</v>
      </c>
      <c r="C41" s="10">
        <v>211.2</v>
      </c>
      <c r="D41" s="10">
        <v>522.4</v>
      </c>
      <c r="E41" s="10">
        <v>694</v>
      </c>
      <c r="F41" s="10">
        <v>143</v>
      </c>
      <c r="G41" s="10">
        <v>73.599999999999994</v>
      </c>
      <c r="H41" s="10">
        <v>112.5</v>
      </c>
      <c r="I41" s="10">
        <v>107.1</v>
      </c>
      <c r="J41" s="10">
        <v>108</v>
      </c>
    </row>
    <row r="42" spans="1:10" ht="39.6">
      <c r="A42" s="9" t="s">
        <v>60</v>
      </c>
      <c r="B42" s="10">
        <v>157.4</v>
      </c>
      <c r="C42" s="10">
        <v>245</v>
      </c>
      <c r="D42" s="10">
        <v>924</v>
      </c>
      <c r="E42" s="10">
        <v>362</v>
      </c>
      <c r="F42" s="10">
        <v>56</v>
      </c>
      <c r="G42" s="10">
        <v>74.3</v>
      </c>
      <c r="H42" s="10">
        <v>111.8</v>
      </c>
      <c r="I42" s="10">
        <v>100.7</v>
      </c>
      <c r="J42" s="10">
        <v>109.7</v>
      </c>
    </row>
    <row r="43" spans="1:10" ht="52.8">
      <c r="A43" s="9" t="s">
        <v>61</v>
      </c>
      <c r="B43" s="10">
        <v>109.5</v>
      </c>
      <c r="C43" s="10">
        <v>291.60000000000002</v>
      </c>
      <c r="D43" s="10">
        <v>653.5</v>
      </c>
      <c r="E43" s="10">
        <v>713</v>
      </c>
      <c r="F43" s="10">
        <v>203</v>
      </c>
      <c r="G43" s="10">
        <v>135.4</v>
      </c>
      <c r="H43" s="10">
        <v>112.9</v>
      </c>
      <c r="I43" s="10">
        <v>131.6</v>
      </c>
      <c r="J43" s="10">
        <v>100</v>
      </c>
    </row>
    <row r="44" spans="1:10" ht="26.4">
      <c r="A44" s="9" t="s">
        <v>62</v>
      </c>
      <c r="B44" s="10">
        <v>178.2</v>
      </c>
      <c r="C44" s="10">
        <v>200.9</v>
      </c>
      <c r="D44" s="10">
        <v>424.4</v>
      </c>
      <c r="E44" s="10">
        <v>654</v>
      </c>
      <c r="F44" s="10">
        <v>93</v>
      </c>
      <c r="G44" s="10">
        <v>10.4</v>
      </c>
      <c r="H44" s="10">
        <v>110</v>
      </c>
      <c r="I44" s="10">
        <v>113.8</v>
      </c>
      <c r="J44" s="10">
        <v>100.3</v>
      </c>
    </row>
    <row r="45" spans="1:10" ht="26.4">
      <c r="A45" s="9" t="s">
        <v>63</v>
      </c>
      <c r="B45" s="10">
        <v>125.8</v>
      </c>
      <c r="C45" s="10">
        <v>229.8</v>
      </c>
      <c r="D45" s="10">
        <v>871.3</v>
      </c>
      <c r="E45" s="10">
        <v>282</v>
      </c>
      <c r="F45" s="10">
        <v>70</v>
      </c>
      <c r="G45" s="10">
        <v>90.9</v>
      </c>
      <c r="H45" s="10">
        <v>113.7</v>
      </c>
      <c r="I45" s="10">
        <v>123.7</v>
      </c>
      <c r="J45" s="10">
        <v>112.4</v>
      </c>
    </row>
    <row r="46" spans="1:10" ht="26.4">
      <c r="A46" s="9" t="s">
        <v>64</v>
      </c>
      <c r="B46" s="10">
        <v>134.80000000000001</v>
      </c>
      <c r="C46" s="10">
        <v>275.10000000000002</v>
      </c>
      <c r="D46" s="75">
        <v>1157.0999999999999</v>
      </c>
      <c r="E46" s="10">
        <v>329</v>
      </c>
      <c r="F46" s="10">
        <v>98</v>
      </c>
      <c r="G46" s="10">
        <v>72.900000000000006</v>
      </c>
      <c r="H46" s="10">
        <v>110.3</v>
      </c>
      <c r="I46" s="10">
        <v>112.5</v>
      </c>
      <c r="J46" s="10">
        <v>107.3</v>
      </c>
    </row>
    <row r="47" spans="1:10" ht="26.4">
      <c r="A47" s="9" t="s">
        <v>65</v>
      </c>
      <c r="B47" s="10">
        <v>134.30000000000001</v>
      </c>
      <c r="C47" s="10">
        <v>331.5</v>
      </c>
      <c r="D47" s="10">
        <v>936.8</v>
      </c>
      <c r="E47" s="10">
        <v>227</v>
      </c>
      <c r="F47" s="10">
        <v>84</v>
      </c>
      <c r="G47" s="10">
        <v>111.1</v>
      </c>
      <c r="H47" s="10">
        <v>112</v>
      </c>
      <c r="I47" s="10">
        <v>120.8</v>
      </c>
      <c r="J47" s="10">
        <v>106.7</v>
      </c>
    </row>
    <row r="48" spans="1:10" ht="26.4">
      <c r="A48" s="9" t="s">
        <v>66</v>
      </c>
      <c r="B48" s="10">
        <v>152.4</v>
      </c>
      <c r="C48" s="10">
        <v>261.8</v>
      </c>
      <c r="D48" s="10">
        <v>623.79999999999995</v>
      </c>
      <c r="E48" s="10">
        <v>306</v>
      </c>
      <c r="F48" s="10">
        <v>91</v>
      </c>
      <c r="G48" s="10">
        <v>80.5</v>
      </c>
      <c r="H48" s="10">
        <v>109.3</v>
      </c>
      <c r="I48" s="10">
        <v>123.4</v>
      </c>
      <c r="J48" s="10">
        <v>106.6</v>
      </c>
    </row>
    <row r="49" spans="1:10" ht="26.4">
      <c r="A49" s="9" t="s">
        <v>67</v>
      </c>
      <c r="B49" s="10">
        <v>161.80000000000001</v>
      </c>
      <c r="C49" s="10">
        <v>239.1</v>
      </c>
      <c r="D49" s="10">
        <v>811.9</v>
      </c>
      <c r="E49" s="10">
        <v>484</v>
      </c>
      <c r="F49" s="10">
        <v>53</v>
      </c>
      <c r="G49" s="10">
        <v>81.7</v>
      </c>
      <c r="H49" s="10">
        <v>112.4</v>
      </c>
      <c r="I49" s="10">
        <v>112.8</v>
      </c>
      <c r="J49" s="10">
        <v>129.69999999999999</v>
      </c>
    </row>
    <row r="50" spans="1:10" ht="26.4">
      <c r="A50" s="9" t="s">
        <v>68</v>
      </c>
      <c r="B50" s="10">
        <v>123.7</v>
      </c>
      <c r="C50" s="10">
        <v>327.10000000000002</v>
      </c>
      <c r="D50" s="75">
        <v>1004.1</v>
      </c>
      <c r="E50" s="10">
        <v>273</v>
      </c>
      <c r="F50" s="10">
        <v>62</v>
      </c>
      <c r="G50" s="10">
        <v>93.7</v>
      </c>
      <c r="H50" s="10">
        <v>112.3</v>
      </c>
      <c r="I50" s="10">
        <v>117.2</v>
      </c>
      <c r="J50" s="10">
        <v>110.5</v>
      </c>
    </row>
    <row r="51" spans="1:10" ht="26.4">
      <c r="A51" s="9" t="s">
        <v>69</v>
      </c>
      <c r="B51" s="10">
        <v>125.9</v>
      </c>
      <c r="C51" s="10">
        <v>366.3</v>
      </c>
      <c r="D51" s="10">
        <v>797.3</v>
      </c>
      <c r="E51" s="10">
        <v>478</v>
      </c>
      <c r="F51" s="10">
        <v>104</v>
      </c>
      <c r="G51" s="10">
        <v>69.599999999999994</v>
      </c>
      <c r="H51" s="10">
        <v>112.8</v>
      </c>
      <c r="I51" s="10">
        <v>111.6</v>
      </c>
      <c r="J51" s="10">
        <v>108</v>
      </c>
    </row>
    <row r="52" spans="1:10" ht="26.4">
      <c r="A52" s="9" t="s">
        <v>70</v>
      </c>
      <c r="B52" s="10">
        <v>131.6</v>
      </c>
      <c r="C52" s="10">
        <v>249.4</v>
      </c>
      <c r="D52" s="10">
        <v>887.7</v>
      </c>
      <c r="E52" s="10">
        <v>148</v>
      </c>
      <c r="F52" s="10">
        <v>87</v>
      </c>
      <c r="G52" s="10">
        <v>80.900000000000006</v>
      </c>
      <c r="H52" s="10">
        <v>111.5</v>
      </c>
      <c r="I52" s="10">
        <v>110.2</v>
      </c>
      <c r="J52" s="10">
        <v>114.7</v>
      </c>
    </row>
    <row r="53" spans="1:10" ht="26.4">
      <c r="A53" s="9" t="s">
        <v>71</v>
      </c>
      <c r="B53" s="10">
        <v>100.9</v>
      </c>
      <c r="C53" s="10">
        <v>329.3</v>
      </c>
      <c r="D53" s="10">
        <v>868.5</v>
      </c>
      <c r="E53" s="10">
        <v>117</v>
      </c>
      <c r="F53" s="10">
        <v>93</v>
      </c>
      <c r="G53" s="10">
        <v>141.6</v>
      </c>
      <c r="H53" s="10">
        <v>111.9</v>
      </c>
      <c r="I53" s="10">
        <v>107</v>
      </c>
      <c r="J53" s="10">
        <v>108.6</v>
      </c>
    </row>
    <row r="54" spans="1:10" ht="26.4">
      <c r="A54" s="9" t="s">
        <v>72</v>
      </c>
      <c r="B54" s="10">
        <v>109.4</v>
      </c>
      <c r="C54" s="10">
        <v>322.89999999999998</v>
      </c>
      <c r="D54" s="10">
        <v>973.6</v>
      </c>
      <c r="E54" s="10">
        <v>318</v>
      </c>
      <c r="F54" s="10">
        <v>110</v>
      </c>
      <c r="G54" s="10">
        <v>151.4</v>
      </c>
      <c r="H54" s="10">
        <v>110.3</v>
      </c>
      <c r="I54" s="10">
        <v>111.5</v>
      </c>
      <c r="J54" s="10">
        <v>110.5</v>
      </c>
    </row>
    <row r="55" spans="1:10" ht="26.4">
      <c r="A55" s="9" t="s">
        <v>73</v>
      </c>
      <c r="B55" s="10">
        <v>133.6</v>
      </c>
      <c r="C55" s="10">
        <v>320.2</v>
      </c>
      <c r="D55" s="10">
        <v>990.4</v>
      </c>
      <c r="E55" s="10">
        <v>162</v>
      </c>
      <c r="F55" s="10">
        <v>104</v>
      </c>
      <c r="G55" s="10">
        <v>68.099999999999994</v>
      </c>
      <c r="H55" s="10">
        <v>110.6</v>
      </c>
      <c r="I55" s="10">
        <v>110.6</v>
      </c>
      <c r="J55" s="10">
        <v>103.3</v>
      </c>
    </row>
    <row r="56" spans="1:10" ht="26.4">
      <c r="A56" s="9" t="s">
        <v>74</v>
      </c>
      <c r="B56" s="10">
        <v>121.6</v>
      </c>
      <c r="C56" s="10">
        <v>280.3</v>
      </c>
      <c r="D56" s="10">
        <v>787.2</v>
      </c>
      <c r="E56" s="10">
        <v>279</v>
      </c>
      <c r="F56" s="10">
        <v>98</v>
      </c>
      <c r="G56" s="10">
        <v>130.4</v>
      </c>
      <c r="H56" s="10">
        <v>111.6</v>
      </c>
      <c r="I56" s="10">
        <v>108.2</v>
      </c>
      <c r="J56" s="10">
        <v>107.5</v>
      </c>
    </row>
    <row r="57" spans="1:10" ht="26.4">
      <c r="A57" s="9" t="s">
        <v>75</v>
      </c>
      <c r="B57" s="10">
        <v>139.4</v>
      </c>
      <c r="C57" s="10">
        <v>282.60000000000002</v>
      </c>
      <c r="D57" s="10">
        <v>913.8</v>
      </c>
      <c r="E57" s="10">
        <v>354</v>
      </c>
      <c r="F57" s="10">
        <v>82</v>
      </c>
      <c r="G57" s="10">
        <v>97.3</v>
      </c>
      <c r="H57" s="10">
        <v>111.2</v>
      </c>
      <c r="I57" s="10">
        <v>113.2</v>
      </c>
      <c r="J57" s="10">
        <v>111.6</v>
      </c>
    </row>
    <row r="58" spans="1:10" ht="26.4">
      <c r="A58" s="9" t="s">
        <v>76</v>
      </c>
      <c r="B58" s="10">
        <v>111.5</v>
      </c>
      <c r="C58" s="10">
        <v>308</v>
      </c>
      <c r="D58" s="10">
        <v>698.2</v>
      </c>
      <c r="E58" s="10">
        <v>184</v>
      </c>
      <c r="F58" s="10">
        <v>80</v>
      </c>
      <c r="G58" s="10">
        <v>107.5</v>
      </c>
      <c r="H58" s="10">
        <v>111.1</v>
      </c>
      <c r="I58" s="10">
        <v>113.5</v>
      </c>
      <c r="J58" s="10">
        <v>111.9</v>
      </c>
    </row>
    <row r="59" spans="1:10" ht="26.4">
      <c r="A59" s="9" t="s">
        <v>77</v>
      </c>
      <c r="B59" s="10">
        <v>120.7</v>
      </c>
      <c r="C59" s="10">
        <v>312.8</v>
      </c>
      <c r="D59" s="10">
        <v>697.4</v>
      </c>
      <c r="E59" s="10">
        <v>264</v>
      </c>
      <c r="F59" s="10">
        <v>105</v>
      </c>
      <c r="G59" s="10">
        <v>78.5</v>
      </c>
      <c r="H59" s="10">
        <v>109.7</v>
      </c>
      <c r="I59" s="10">
        <v>115.3</v>
      </c>
      <c r="J59" s="10">
        <v>103.7</v>
      </c>
    </row>
    <row r="60" spans="1:10" ht="26.4">
      <c r="A60" s="9" t="s">
        <v>78</v>
      </c>
      <c r="B60" s="10">
        <v>118.4</v>
      </c>
      <c r="C60" s="10">
        <v>302.8</v>
      </c>
      <c r="D60" s="75">
        <v>1201.9000000000001</v>
      </c>
      <c r="E60" s="10">
        <v>139</v>
      </c>
      <c r="F60" s="10">
        <v>81</v>
      </c>
      <c r="G60" s="10">
        <v>107.5</v>
      </c>
      <c r="H60" s="10">
        <v>110.9</v>
      </c>
      <c r="I60" s="10">
        <v>120</v>
      </c>
      <c r="J60" s="10">
        <v>115.9</v>
      </c>
    </row>
    <row r="61" spans="1:10" ht="26.4">
      <c r="A61" s="9" t="s">
        <v>79</v>
      </c>
      <c r="B61" s="10">
        <v>113.3</v>
      </c>
      <c r="C61" s="10">
        <v>324</v>
      </c>
      <c r="D61" s="10">
        <v>979.5</v>
      </c>
      <c r="E61" s="10">
        <v>132</v>
      </c>
      <c r="F61" s="10">
        <v>74</v>
      </c>
      <c r="G61" s="10">
        <v>64.7</v>
      </c>
      <c r="H61" s="10">
        <v>111.3</v>
      </c>
      <c r="I61" s="10">
        <v>113.1</v>
      </c>
      <c r="J61" s="10">
        <v>110.3</v>
      </c>
    </row>
    <row r="62" spans="1:10" ht="66">
      <c r="A62" s="12" t="s">
        <v>80</v>
      </c>
      <c r="B62" s="10">
        <v>140.69999999999999</v>
      </c>
      <c r="C62" s="10">
        <v>264.3</v>
      </c>
      <c r="D62" s="10">
        <v>840.6</v>
      </c>
      <c r="E62" s="10">
        <v>12</v>
      </c>
      <c r="F62" s="10">
        <v>69</v>
      </c>
      <c r="G62" s="9">
        <v>68.7</v>
      </c>
      <c r="H62" s="10">
        <v>109.7</v>
      </c>
      <c r="I62" s="9">
        <v>108.8</v>
      </c>
      <c r="J62" s="10">
        <v>111.5</v>
      </c>
    </row>
    <row r="63" spans="1:10" ht="52.8">
      <c r="A63" s="12" t="s">
        <v>81</v>
      </c>
      <c r="B63" s="10">
        <v>126.1</v>
      </c>
      <c r="C63" s="10">
        <v>288.89999999999998</v>
      </c>
      <c r="D63" s="75">
        <v>1453.2</v>
      </c>
      <c r="E63" s="10">
        <v>3.7</v>
      </c>
      <c r="F63" s="10">
        <v>79</v>
      </c>
      <c r="G63" s="10">
        <v>59.3</v>
      </c>
      <c r="H63" s="10">
        <v>108.2</v>
      </c>
      <c r="I63" s="9">
        <v>108.3</v>
      </c>
      <c r="J63" s="10">
        <v>117.3</v>
      </c>
    </row>
    <row r="64" spans="1:10" ht="52.8">
      <c r="A64" s="12" t="s">
        <v>82</v>
      </c>
      <c r="B64" s="10">
        <v>140.80000000000001</v>
      </c>
      <c r="C64" s="10">
        <v>299.7</v>
      </c>
      <c r="D64" s="10">
        <v>749.7</v>
      </c>
      <c r="E64" s="10">
        <v>93</v>
      </c>
      <c r="F64" s="10">
        <v>163</v>
      </c>
      <c r="G64" s="10">
        <v>175.3</v>
      </c>
      <c r="H64" s="10">
        <v>107.6</v>
      </c>
      <c r="I64" s="9">
        <v>108.7</v>
      </c>
      <c r="J64" s="10">
        <v>107.2</v>
      </c>
    </row>
    <row r="65" spans="1:10" ht="26.4">
      <c r="A65" s="9" t="s">
        <v>83</v>
      </c>
      <c r="B65" s="10">
        <v>136.9</v>
      </c>
      <c r="C65" s="10">
        <v>355.9</v>
      </c>
      <c r="D65" s="10">
        <v>963.9</v>
      </c>
      <c r="E65" s="10">
        <v>251</v>
      </c>
      <c r="F65" s="10">
        <v>96</v>
      </c>
      <c r="G65" s="10">
        <v>104.1</v>
      </c>
      <c r="H65" s="10">
        <v>109.8</v>
      </c>
      <c r="I65" s="10">
        <v>113.2</v>
      </c>
      <c r="J65" s="10">
        <v>113.4</v>
      </c>
    </row>
    <row r="66" spans="1:10" ht="26.4">
      <c r="A66" s="9" t="s">
        <v>84</v>
      </c>
      <c r="B66" s="10">
        <v>132.6</v>
      </c>
      <c r="C66" s="10">
        <v>337</v>
      </c>
      <c r="D66" s="10">
        <v>933</v>
      </c>
      <c r="E66" s="10">
        <v>50</v>
      </c>
      <c r="F66" s="10">
        <v>79</v>
      </c>
      <c r="G66" s="10">
        <v>167.3</v>
      </c>
      <c r="H66" s="10">
        <v>110.2</v>
      </c>
      <c r="I66" s="10">
        <v>111</v>
      </c>
      <c r="J66" s="10">
        <v>100</v>
      </c>
    </row>
    <row r="67" spans="1:10" ht="26.4">
      <c r="A67" s="9" t="s">
        <v>85</v>
      </c>
      <c r="B67" s="10">
        <v>95.1</v>
      </c>
      <c r="C67" s="10">
        <v>313.10000000000002</v>
      </c>
      <c r="D67" s="10">
        <v>653.1</v>
      </c>
      <c r="E67" s="10">
        <v>21</v>
      </c>
      <c r="F67" s="10">
        <v>84</v>
      </c>
      <c r="G67" s="10">
        <v>151.80000000000001</v>
      </c>
      <c r="H67" s="10">
        <v>110.4</v>
      </c>
      <c r="I67" s="10">
        <v>108.1</v>
      </c>
      <c r="J67" s="10">
        <v>107.5</v>
      </c>
    </row>
    <row r="68" spans="1:10" ht="26.4">
      <c r="A68" s="9" t="s">
        <v>86</v>
      </c>
      <c r="B68" s="10">
        <v>160.9</v>
      </c>
      <c r="C68" s="10">
        <v>362</v>
      </c>
      <c r="D68" s="10">
        <v>888.6</v>
      </c>
      <c r="E68" s="10">
        <v>95</v>
      </c>
      <c r="F68" s="10">
        <v>62</v>
      </c>
      <c r="G68" s="10">
        <v>94.9</v>
      </c>
      <c r="H68" s="10">
        <v>110.4</v>
      </c>
      <c r="I68" s="10">
        <v>108.5</v>
      </c>
      <c r="J68" s="10">
        <v>106.3</v>
      </c>
    </row>
    <row r="69" spans="1:10" ht="26.4">
      <c r="A69" s="9" t="s">
        <v>87</v>
      </c>
      <c r="B69" s="10">
        <v>105.3</v>
      </c>
      <c r="C69" s="10">
        <v>353.5</v>
      </c>
      <c r="D69" s="75">
        <v>1081.5999999999999</v>
      </c>
      <c r="E69" s="10">
        <v>193</v>
      </c>
      <c r="F69" s="10">
        <v>80</v>
      </c>
      <c r="G69" s="10">
        <v>104.8</v>
      </c>
      <c r="H69" s="10">
        <v>110</v>
      </c>
      <c r="I69" s="10">
        <v>114.4</v>
      </c>
      <c r="J69" s="10">
        <v>109.1</v>
      </c>
    </row>
    <row r="70" spans="1:10" ht="26.4">
      <c r="A70" s="9" t="s">
        <v>88</v>
      </c>
      <c r="B70" s="10">
        <v>131.5</v>
      </c>
      <c r="C70" s="10">
        <v>335.1</v>
      </c>
      <c r="D70" s="10">
        <v>878.3</v>
      </c>
      <c r="E70" s="10">
        <v>12</v>
      </c>
      <c r="F70" s="10">
        <v>100</v>
      </c>
      <c r="G70" s="10">
        <v>111</v>
      </c>
      <c r="H70" s="10">
        <v>110.5</v>
      </c>
      <c r="I70" s="10">
        <v>111.3</v>
      </c>
      <c r="J70" s="10">
        <v>111.1</v>
      </c>
    </row>
    <row r="71" spans="1:10" ht="26.4">
      <c r="A71" s="9" t="s">
        <v>89</v>
      </c>
      <c r="B71" s="10">
        <v>112.8</v>
      </c>
      <c r="C71" s="10">
        <v>318.89999999999998</v>
      </c>
      <c r="D71" s="10">
        <v>974.6</v>
      </c>
      <c r="E71" s="10">
        <v>33</v>
      </c>
      <c r="F71" s="10">
        <v>105</v>
      </c>
      <c r="G71" s="10">
        <v>98.3</v>
      </c>
      <c r="H71" s="10">
        <v>109.9</v>
      </c>
      <c r="I71" s="10">
        <v>114.6</v>
      </c>
      <c r="J71" s="10">
        <v>110.1</v>
      </c>
    </row>
    <row r="72" spans="1:10" ht="26.4">
      <c r="A72" s="9" t="s">
        <v>90</v>
      </c>
      <c r="B72" s="10">
        <v>110.7</v>
      </c>
      <c r="C72" s="10">
        <v>309.8</v>
      </c>
      <c r="D72" s="10">
        <v>770.4</v>
      </c>
      <c r="E72" s="10">
        <v>186</v>
      </c>
      <c r="F72" s="10">
        <v>94</v>
      </c>
      <c r="G72" s="10">
        <v>90</v>
      </c>
      <c r="H72" s="10">
        <v>109.6</v>
      </c>
      <c r="I72" s="10">
        <v>111.2</v>
      </c>
      <c r="J72" s="10">
        <v>110.1</v>
      </c>
    </row>
    <row r="73" spans="1:10" ht="26.4">
      <c r="A73" s="9" t="s">
        <v>91</v>
      </c>
      <c r="B73" s="10">
        <v>113</v>
      </c>
      <c r="C73" s="10">
        <v>293.89999999999998</v>
      </c>
      <c r="D73" s="10">
        <v>840.7</v>
      </c>
      <c r="E73" s="10">
        <v>114</v>
      </c>
      <c r="F73" s="10">
        <v>84</v>
      </c>
      <c r="G73" s="10">
        <v>96.4</v>
      </c>
      <c r="H73" s="10">
        <v>110.9</v>
      </c>
      <c r="I73" s="10">
        <v>110.4</v>
      </c>
      <c r="J73" s="10">
        <v>113</v>
      </c>
    </row>
    <row r="74" spans="1:10" ht="26.4">
      <c r="A74" s="9" t="s">
        <v>92</v>
      </c>
      <c r="B74" s="10">
        <v>124</v>
      </c>
      <c r="C74" s="10">
        <v>285.10000000000002</v>
      </c>
      <c r="D74" s="10">
        <v>791.9</v>
      </c>
      <c r="E74" s="10">
        <v>101</v>
      </c>
      <c r="F74" s="10">
        <v>123</v>
      </c>
      <c r="G74" s="10">
        <v>142.19999999999999</v>
      </c>
      <c r="H74" s="10">
        <v>110.3</v>
      </c>
      <c r="I74" s="10">
        <v>124.1</v>
      </c>
      <c r="J74" s="10">
        <v>109</v>
      </c>
    </row>
    <row r="75" spans="1:10" ht="26.4">
      <c r="A75" s="9" t="s">
        <v>93</v>
      </c>
      <c r="B75" s="10">
        <v>96.9</v>
      </c>
      <c r="C75" s="10">
        <v>266.39999999999998</v>
      </c>
      <c r="D75" s="10">
        <v>809.8</v>
      </c>
      <c r="E75" s="10">
        <v>26</v>
      </c>
      <c r="F75" s="10">
        <v>93</v>
      </c>
      <c r="G75" s="10">
        <v>43.5</v>
      </c>
      <c r="H75" s="10">
        <v>110.4</v>
      </c>
      <c r="I75" s="10">
        <v>110.9</v>
      </c>
      <c r="J75" s="10">
        <v>79.900000000000006</v>
      </c>
    </row>
    <row r="76" spans="1:10" ht="26.4">
      <c r="A76" s="9" t="s">
        <v>94</v>
      </c>
      <c r="B76" s="10">
        <v>127.1</v>
      </c>
      <c r="C76" s="10">
        <v>290.10000000000002</v>
      </c>
      <c r="D76" s="10">
        <v>698</v>
      </c>
      <c r="E76" s="10">
        <v>27</v>
      </c>
      <c r="F76" s="10">
        <v>121</v>
      </c>
      <c r="G76" s="10">
        <v>107.5</v>
      </c>
      <c r="H76" s="10">
        <v>112.3</v>
      </c>
      <c r="I76" s="10">
        <v>125.3</v>
      </c>
      <c r="J76" s="10">
        <v>114.5</v>
      </c>
    </row>
    <row r="77" spans="1:10" ht="26.4">
      <c r="A77" s="9" t="s">
        <v>95</v>
      </c>
      <c r="B77" s="10">
        <v>118.2</v>
      </c>
      <c r="C77" s="10">
        <v>309.89999999999998</v>
      </c>
      <c r="D77" s="75">
        <v>1112.3</v>
      </c>
      <c r="E77" s="10">
        <v>4.0999999999999996</v>
      </c>
      <c r="F77" s="10">
        <v>66</v>
      </c>
      <c r="G77" s="10">
        <v>73.900000000000006</v>
      </c>
      <c r="H77" s="10">
        <v>108.7</v>
      </c>
      <c r="I77" s="10">
        <v>107</v>
      </c>
      <c r="J77" s="10">
        <v>110.6</v>
      </c>
    </row>
    <row r="78" spans="1:10" ht="26.4">
      <c r="A78" s="9" t="s">
        <v>96</v>
      </c>
      <c r="B78" s="10">
        <v>107.5</v>
      </c>
      <c r="C78" s="10">
        <v>327.2</v>
      </c>
      <c r="D78" s="10">
        <v>754</v>
      </c>
      <c r="E78" s="10">
        <v>35</v>
      </c>
      <c r="F78" s="10">
        <v>80</v>
      </c>
      <c r="G78" s="10">
        <v>99.4</v>
      </c>
      <c r="H78" s="10">
        <v>108.9</v>
      </c>
      <c r="I78" s="10">
        <v>107.6</v>
      </c>
      <c r="J78" s="10">
        <v>113.3</v>
      </c>
    </row>
    <row r="79" spans="1:10" ht="26.4">
      <c r="A79" s="9" t="s">
        <v>97</v>
      </c>
      <c r="B79" s="10">
        <v>92.2</v>
      </c>
      <c r="C79" s="10">
        <v>364.2</v>
      </c>
      <c r="D79" s="10">
        <v>847.6</v>
      </c>
      <c r="E79" s="10">
        <v>4.4000000000000004</v>
      </c>
      <c r="F79" s="10">
        <v>162</v>
      </c>
      <c r="G79" s="10">
        <v>141.4</v>
      </c>
      <c r="H79" s="10">
        <v>111.4</v>
      </c>
      <c r="I79" s="10">
        <v>104.9</v>
      </c>
      <c r="J79" s="10">
        <v>102.6</v>
      </c>
    </row>
    <row r="80" spans="1:10" ht="26.4">
      <c r="A80" s="9" t="s">
        <v>98</v>
      </c>
      <c r="B80" s="10">
        <v>108.9</v>
      </c>
      <c r="C80" s="10">
        <v>280.8</v>
      </c>
      <c r="D80" s="10">
        <v>852.6</v>
      </c>
      <c r="E80" s="10">
        <v>94</v>
      </c>
      <c r="F80" s="10">
        <v>85</v>
      </c>
      <c r="G80" s="10">
        <v>133.5</v>
      </c>
      <c r="H80" s="10">
        <v>109.6</v>
      </c>
      <c r="I80" s="10">
        <v>107.5</v>
      </c>
      <c r="J80" s="10">
        <v>116.9</v>
      </c>
    </row>
    <row r="81" spans="1:10" ht="26.4">
      <c r="A81" s="9" t="s">
        <v>99</v>
      </c>
      <c r="B81" s="10">
        <v>117.4</v>
      </c>
      <c r="C81" s="10">
        <v>351.3</v>
      </c>
      <c r="D81" s="10">
        <v>675.2</v>
      </c>
      <c r="E81" s="10">
        <v>13</v>
      </c>
      <c r="F81" s="10">
        <v>75</v>
      </c>
      <c r="G81" s="10">
        <v>102</v>
      </c>
      <c r="H81" s="10">
        <v>108.9</v>
      </c>
      <c r="I81" s="10">
        <v>110.1</v>
      </c>
      <c r="J81" s="10">
        <v>110.3</v>
      </c>
    </row>
    <row r="82" spans="1:10" ht="26.4">
      <c r="A82" s="9" t="s">
        <v>100</v>
      </c>
      <c r="B82" s="10">
        <v>110.7</v>
      </c>
      <c r="C82" s="10">
        <v>326</v>
      </c>
      <c r="D82" s="10">
        <v>881.4</v>
      </c>
      <c r="E82" s="10">
        <v>37</v>
      </c>
      <c r="F82" s="10">
        <v>88</v>
      </c>
      <c r="G82" s="10">
        <v>151.69999999999999</v>
      </c>
      <c r="H82" s="10">
        <v>108.6</v>
      </c>
      <c r="I82" s="10">
        <v>109.3</v>
      </c>
      <c r="J82" s="10">
        <v>113.7</v>
      </c>
    </row>
    <row r="83" spans="1:10" ht="26.4">
      <c r="A83" s="9" t="s">
        <v>101</v>
      </c>
      <c r="B83" s="10">
        <v>108.5</v>
      </c>
      <c r="C83" s="10">
        <v>415.8</v>
      </c>
      <c r="D83" s="10">
        <v>746.4</v>
      </c>
      <c r="E83" s="10">
        <v>5.4</v>
      </c>
      <c r="F83" s="10">
        <v>98</v>
      </c>
      <c r="G83" s="10">
        <v>126.9</v>
      </c>
      <c r="H83" s="10">
        <v>105.1</v>
      </c>
      <c r="I83" s="10">
        <v>106</v>
      </c>
      <c r="J83" s="10">
        <v>128.5</v>
      </c>
    </row>
    <row r="84" spans="1:10" ht="26.4">
      <c r="A84" s="9" t="s">
        <v>102</v>
      </c>
      <c r="B84" s="10">
        <v>84.6</v>
      </c>
      <c r="C84" s="10">
        <v>305.10000000000002</v>
      </c>
      <c r="D84" s="10">
        <v>843.6</v>
      </c>
      <c r="E84" s="10">
        <v>33</v>
      </c>
      <c r="F84" s="10">
        <v>153</v>
      </c>
      <c r="G84" s="10">
        <v>85.2</v>
      </c>
      <c r="H84" s="10">
        <v>109.6</v>
      </c>
      <c r="I84" s="10">
        <v>103.3</v>
      </c>
      <c r="J84" s="10">
        <v>105.4</v>
      </c>
    </row>
    <row r="85" spans="1:10" ht="39.6">
      <c r="A85" s="9" t="s">
        <v>103</v>
      </c>
      <c r="B85" s="10">
        <v>107.9</v>
      </c>
      <c r="C85" s="10">
        <v>319.5</v>
      </c>
      <c r="D85" s="10">
        <v>691.4</v>
      </c>
      <c r="E85" s="10">
        <v>71</v>
      </c>
      <c r="F85" s="10">
        <v>85</v>
      </c>
      <c r="G85" s="10">
        <v>146.80000000000001</v>
      </c>
      <c r="H85" s="10">
        <v>107.6</v>
      </c>
      <c r="I85" s="10">
        <v>122.8</v>
      </c>
      <c r="J85" s="10">
        <v>100.4</v>
      </c>
    </row>
    <row r="86" spans="1:10" ht="39.6">
      <c r="A86" s="9" t="s">
        <v>104</v>
      </c>
      <c r="B86" s="10">
        <v>73.599999999999994</v>
      </c>
      <c r="C86" s="10">
        <v>483.7</v>
      </c>
      <c r="D86" s="75">
        <v>1130.9000000000001</v>
      </c>
      <c r="E86" s="10">
        <v>1.3</v>
      </c>
      <c r="F86" s="10">
        <v>86</v>
      </c>
      <c r="G86" s="10">
        <v>29.2</v>
      </c>
      <c r="H86" s="10">
        <v>105</v>
      </c>
      <c r="I86" s="10">
        <v>105.3</v>
      </c>
      <c r="J86" s="10">
        <v>109.5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E99B-3D6F-4590-A0E0-7E6A74146D86}">
  <dimension ref="A1:N88"/>
  <sheetViews>
    <sheetView topLeftCell="C1" workbookViewId="0">
      <selection sqref="A1:N1048576"/>
    </sheetView>
  </sheetViews>
  <sheetFormatPr defaultRowHeight="14.4"/>
  <cols>
    <col min="1" max="1" width="19.6640625" style="5" customWidth="1"/>
    <col min="2" max="2" width="12.6640625" bestFit="1" customWidth="1"/>
    <col min="11" max="11" width="30.5546875" bestFit="1" customWidth="1"/>
    <col min="12" max="12" width="42.21875" bestFit="1" customWidth="1"/>
    <col min="13" max="13" width="25" bestFit="1" customWidth="1"/>
    <col min="14" max="14" width="26.21875" bestFit="1" customWidth="1"/>
  </cols>
  <sheetData>
    <row r="1" spans="1:14">
      <c r="A1" s="7" t="s">
        <v>105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107</v>
      </c>
      <c r="L1" s="8" t="s">
        <v>112</v>
      </c>
      <c r="M1" s="8" t="s">
        <v>113</v>
      </c>
      <c r="N1" s="8" t="s">
        <v>132</v>
      </c>
    </row>
    <row r="2" spans="1:14">
      <c r="A2" s="9" t="s">
        <v>20</v>
      </c>
      <c r="B2" s="17">
        <v>0.61790357410705798</v>
      </c>
      <c r="C2" s="17">
        <v>9.3321480288519939E-3</v>
      </c>
      <c r="D2" s="17">
        <v>-0.32232839412496556</v>
      </c>
      <c r="E2" s="17">
        <v>0.90139707632688626</v>
      </c>
      <c r="F2" s="17">
        <v>-0.27984288028451054</v>
      </c>
      <c r="G2" s="17">
        <v>-0.62225575882239104</v>
      </c>
      <c r="H2" s="17">
        <v>0.97882516989568413</v>
      </c>
      <c r="I2" s="17">
        <v>-0.84276280610275545</v>
      </c>
      <c r="J2" s="17">
        <v>0.25865705507540249</v>
      </c>
      <c r="K2" s="10">
        <v>5</v>
      </c>
      <c r="L2" s="18">
        <v>5</v>
      </c>
      <c r="M2" s="22">
        <v>4</v>
      </c>
      <c r="N2" s="22">
        <f>VLOOKUP(A:A,'k-средних'!$A$2:$B$86,2,0)</f>
        <v>3</v>
      </c>
    </row>
    <row r="3" spans="1:14">
      <c r="A3" s="9" t="s">
        <v>21</v>
      </c>
      <c r="B3" s="17">
        <v>0.26165102895812292</v>
      </c>
      <c r="C3" s="17">
        <v>0.15571074408774316</v>
      </c>
      <c r="D3" s="17">
        <v>-8.1861548290752734E-2</v>
      </c>
      <c r="E3" s="17">
        <v>4.1336011081789359E-2</v>
      </c>
      <c r="F3" s="17">
        <v>0.94207380588929068</v>
      </c>
      <c r="G3" s="17">
        <v>-1.579357665890013</v>
      </c>
      <c r="H3" s="17">
        <v>0.13443945161627305</v>
      </c>
      <c r="I3" s="17">
        <v>-0.49048543044937148</v>
      </c>
      <c r="J3" s="17">
        <v>-0.32480337072797832</v>
      </c>
      <c r="K3" s="10">
        <v>5</v>
      </c>
      <c r="L3" s="18">
        <v>5</v>
      </c>
      <c r="M3" s="22">
        <v>3</v>
      </c>
      <c r="N3" s="22">
        <f>VLOOKUP(A:A,'k-средних'!$A$2:$B$86,2,0)</f>
        <v>1</v>
      </c>
    </row>
    <row r="4" spans="1:14">
      <c r="A4" s="9" t="s">
        <v>22</v>
      </c>
      <c r="B4" s="17">
        <v>-0.16670024556619131</v>
      </c>
      <c r="C4" s="17">
        <v>1.2263656181184892</v>
      </c>
      <c r="D4" s="17">
        <v>0.89827539006840951</v>
      </c>
      <c r="E4" s="17">
        <v>0.20112877730218987</v>
      </c>
      <c r="F4" s="17">
        <v>-1.0129928919887912</v>
      </c>
      <c r="G4" s="17">
        <v>1.1831230571331528</v>
      </c>
      <c r="H4" s="17">
        <v>7.814707039764085E-2</v>
      </c>
      <c r="I4" s="17">
        <v>0.78077640343023502</v>
      </c>
      <c r="J4" s="17">
        <v>-0.98782658186818295</v>
      </c>
      <c r="K4" s="10">
        <v>6</v>
      </c>
      <c r="L4" s="18">
        <v>5</v>
      </c>
      <c r="M4" s="22">
        <v>2</v>
      </c>
      <c r="N4" s="22">
        <f>VLOOKUP(A:A,'k-средних'!$A$2:$B$86,2,0)</f>
        <v>2</v>
      </c>
    </row>
    <row r="5" spans="1:14">
      <c r="A5" s="9" t="s">
        <v>23</v>
      </c>
      <c r="B5" s="17">
        <v>0.12169467193532782</v>
      </c>
      <c r="C5" s="17">
        <v>-0.47302017803187535</v>
      </c>
      <c r="D5" s="17">
        <v>-1.2214867642771241</v>
      </c>
      <c r="E5" s="17">
        <v>0.29512452213771956</v>
      </c>
      <c r="F5" s="17">
        <v>0.33111546280239013</v>
      </c>
      <c r="G5" s="17">
        <v>0.34600768652007224</v>
      </c>
      <c r="H5" s="17">
        <v>0.6973632638025471</v>
      </c>
      <c r="I5" s="17">
        <v>0.3059677666800199</v>
      </c>
      <c r="J5" s="17">
        <v>0.29843844774381439</v>
      </c>
      <c r="K5" s="10">
        <v>5</v>
      </c>
      <c r="L5" s="18">
        <v>5</v>
      </c>
      <c r="M5" s="22">
        <v>3</v>
      </c>
      <c r="N5" s="22">
        <f>VLOOKUP(A:A,'k-средних'!$A$2:$B$86,2,0)</f>
        <v>3</v>
      </c>
    </row>
    <row r="6" spans="1:14">
      <c r="A6" s="9" t="s">
        <v>24</v>
      </c>
      <c r="B6" s="17">
        <v>-0.72652567365737464</v>
      </c>
      <c r="C6" s="17">
        <v>-0.27784871662002047</v>
      </c>
      <c r="D6" s="17">
        <v>-0.16530897528455535</v>
      </c>
      <c r="E6" s="17">
        <v>6.0135160048895304E-2</v>
      </c>
      <c r="F6" s="17">
        <v>0.86061269347770397</v>
      </c>
      <c r="G6" s="17">
        <v>0.47436537668074447</v>
      </c>
      <c r="H6" s="17">
        <v>0.30331659527215366</v>
      </c>
      <c r="I6" s="17">
        <v>-0.55175106099778481</v>
      </c>
      <c r="J6" s="17">
        <v>-1.0408684387594</v>
      </c>
      <c r="K6" s="10">
        <v>6</v>
      </c>
      <c r="L6" s="18">
        <v>5</v>
      </c>
      <c r="M6" s="22">
        <v>3</v>
      </c>
      <c r="N6" s="22">
        <f>VLOOKUP(A:A,'k-средних'!$A$2:$B$86,2,0)</f>
        <v>2</v>
      </c>
    </row>
    <row r="7" spans="1:14">
      <c r="A7" s="9" t="s">
        <v>25</v>
      </c>
      <c r="B7" s="17">
        <v>1.0462548486313721</v>
      </c>
      <c r="C7" s="17">
        <v>-0.61939877409076649</v>
      </c>
      <c r="D7" s="17">
        <v>1.1510865298366162</v>
      </c>
      <c r="E7" s="17">
        <v>0.12358228781287786</v>
      </c>
      <c r="F7" s="17">
        <v>0.45330713141977025</v>
      </c>
      <c r="G7" s="17">
        <v>0.11440576731712006</v>
      </c>
      <c r="H7" s="17">
        <v>7.814707039764085E-2</v>
      </c>
      <c r="I7" s="17">
        <v>-0.52111824572357712</v>
      </c>
      <c r="J7" s="17">
        <v>-0.28502197805956647</v>
      </c>
      <c r="K7" s="10">
        <v>5</v>
      </c>
      <c r="L7" s="18">
        <v>5</v>
      </c>
      <c r="M7" s="22">
        <v>3</v>
      </c>
      <c r="N7" s="22">
        <f>VLOOKUP(A:A,'k-средних'!$A$2:$B$86,2,0)</f>
        <v>1</v>
      </c>
    </row>
    <row r="8" spans="1:14">
      <c r="A8" s="9" t="s">
        <v>26</v>
      </c>
      <c r="B8" s="17">
        <v>-1.0573316084385282</v>
      </c>
      <c r="C8" s="17">
        <v>8.6006650726366402E-2</v>
      </c>
      <c r="D8" s="17">
        <v>-0.30603392613209246</v>
      </c>
      <c r="E8" s="17">
        <v>-0.40984356412875328</v>
      </c>
      <c r="F8" s="17">
        <v>0.24965435039080336</v>
      </c>
      <c r="G8" s="17">
        <v>2.0313999660210746</v>
      </c>
      <c r="H8" s="17">
        <v>-9.0730073258239771E-2</v>
      </c>
      <c r="I8" s="17">
        <v>-0.2301065006186086</v>
      </c>
      <c r="J8" s="17">
        <v>-1.5978079361171704</v>
      </c>
      <c r="K8" s="10">
        <v>6</v>
      </c>
      <c r="L8" s="18">
        <v>5</v>
      </c>
      <c r="M8" s="22">
        <v>3</v>
      </c>
      <c r="N8" s="22">
        <f>VLOOKUP(A:A,'k-средних'!$A$2:$B$86,2,0)</f>
        <v>2</v>
      </c>
    </row>
    <row r="9" spans="1:14">
      <c r="A9" s="9" t="s">
        <v>27</v>
      </c>
      <c r="B9" s="17">
        <v>-7.7637109278957853E-2</v>
      </c>
      <c r="C9" s="17">
        <v>-0.27227238915111068</v>
      </c>
      <c r="D9" s="17">
        <v>-1.2891334950354134</v>
      </c>
      <c r="E9" s="17">
        <v>0.14943111764264852</v>
      </c>
      <c r="F9" s="17">
        <v>-7.6190099255543639E-2</v>
      </c>
      <c r="G9" s="17">
        <v>0.32647499453910034</v>
      </c>
      <c r="H9" s="17">
        <v>0.92253278867705191</v>
      </c>
      <c r="I9" s="17">
        <v>0.21406932085739874</v>
      </c>
      <c r="J9" s="17">
        <v>-0.92152426075416249</v>
      </c>
      <c r="K9" s="10">
        <v>5</v>
      </c>
      <c r="L9" s="18">
        <v>5</v>
      </c>
      <c r="M9" s="22">
        <v>3</v>
      </c>
      <c r="N9" s="22">
        <f>VLOOKUP(A:A,'k-средних'!$A$2:$B$86,2,0)</f>
        <v>3</v>
      </c>
    </row>
    <row r="10" spans="1:14">
      <c r="A10" s="9" t="s">
        <v>28</v>
      </c>
      <c r="B10" s="17">
        <v>-0.13701253347044662</v>
      </c>
      <c r="C10" s="17">
        <v>0.81092922168468451</v>
      </c>
      <c r="D10" s="17">
        <v>-0.97114448329571568</v>
      </c>
      <c r="E10" s="17">
        <v>0.60531048009496768</v>
      </c>
      <c r="F10" s="17">
        <v>0.73842102486032379</v>
      </c>
      <c r="G10" s="17">
        <v>2.790384568709317E-3</v>
      </c>
      <c r="H10" s="17">
        <v>1.1477023135515647</v>
      </c>
      <c r="I10" s="17">
        <v>-0.75086436028013215</v>
      </c>
      <c r="J10" s="17">
        <v>0.17909426973857681</v>
      </c>
      <c r="K10" s="10">
        <v>5</v>
      </c>
      <c r="L10" s="18">
        <v>5</v>
      </c>
      <c r="M10" s="22">
        <v>3</v>
      </c>
      <c r="N10" s="22">
        <f>VLOOKUP(A:A,'k-средних'!$A$2:$B$86,2,0)</f>
        <v>3</v>
      </c>
    </row>
    <row r="11" spans="1:14">
      <c r="A11" s="9" t="s">
        <v>29</v>
      </c>
      <c r="B11" s="17">
        <v>1.5467048525310667</v>
      </c>
      <c r="C11" s="17">
        <v>-0.85639269151944741</v>
      </c>
      <c r="D11" s="17">
        <v>-0.74845342072645493</v>
      </c>
      <c r="E11" s="17">
        <v>1.2867796301525578</v>
      </c>
      <c r="F11" s="17">
        <v>0.57549880003715037</v>
      </c>
      <c r="G11" s="17">
        <v>-1.5486634356341999</v>
      </c>
      <c r="H11" s="17">
        <v>0.30331659527215366</v>
      </c>
      <c r="I11" s="17">
        <v>-1.5320011497724206</v>
      </c>
      <c r="J11" s="17">
        <v>1.3857965140137505</v>
      </c>
      <c r="K11" s="10">
        <v>3</v>
      </c>
      <c r="L11" s="18">
        <v>5</v>
      </c>
      <c r="M11" s="22">
        <v>4</v>
      </c>
      <c r="N11" s="22">
        <f>VLOOKUP(A:A,'k-средних'!$A$2:$B$86,2,0)</f>
        <v>4</v>
      </c>
    </row>
    <row r="12" spans="1:14">
      <c r="A12" s="9" t="s">
        <v>30</v>
      </c>
      <c r="B12" s="17">
        <v>-0.38299643369233005</v>
      </c>
      <c r="C12" s="17">
        <v>2.0484802966671638E-2</v>
      </c>
      <c r="D12" s="17">
        <v>1.3920471474281884</v>
      </c>
      <c r="E12" s="17">
        <v>0.22932750075284877</v>
      </c>
      <c r="F12" s="17">
        <v>0.16819323797921659</v>
      </c>
      <c r="G12" s="17">
        <v>-0.13951922843551462</v>
      </c>
      <c r="H12" s="17">
        <v>0.64107088258391487</v>
      </c>
      <c r="I12" s="17">
        <v>-0.61301669154620042</v>
      </c>
      <c r="J12" s="17">
        <v>1.2929732644541214</v>
      </c>
      <c r="K12" s="10">
        <v>5</v>
      </c>
      <c r="L12" s="18">
        <v>5</v>
      </c>
      <c r="M12" s="22">
        <v>3</v>
      </c>
      <c r="N12" s="22">
        <f>VLOOKUP(A:A,'k-средних'!$A$2:$B$86,2,0)</f>
        <v>1</v>
      </c>
    </row>
    <row r="13" spans="1:14">
      <c r="A13" s="9" t="s">
        <v>31</v>
      </c>
      <c r="B13" s="17">
        <v>0.67727899829854732</v>
      </c>
      <c r="C13" s="17">
        <v>-0.40749833027218141</v>
      </c>
      <c r="D13" s="17">
        <v>-0.12975740875465155</v>
      </c>
      <c r="E13" s="17">
        <v>-6.4409201858181567E-2</v>
      </c>
      <c r="F13" s="17">
        <v>5.2710131560431061E-3</v>
      </c>
      <c r="G13" s="17">
        <v>0.91524613853696724</v>
      </c>
      <c r="H13" s="17">
        <v>0.24702421405352146</v>
      </c>
      <c r="I13" s="17">
        <v>-0.21479009298150362</v>
      </c>
      <c r="J13" s="17">
        <v>1.9968699064927316E-2</v>
      </c>
      <c r="K13" s="10">
        <v>5</v>
      </c>
      <c r="L13" s="18">
        <v>5</v>
      </c>
      <c r="M13" s="22">
        <v>3</v>
      </c>
      <c r="N13" s="22">
        <f>VLOOKUP(A:A,'k-средних'!$A$2:$B$86,2,0)</f>
        <v>3</v>
      </c>
    </row>
    <row r="14" spans="1:14">
      <c r="A14" s="9" t="s">
        <v>32</v>
      </c>
      <c r="B14" s="17">
        <v>-0.7646955892090459</v>
      </c>
      <c r="C14" s="17">
        <v>0.43592119940047719</v>
      </c>
      <c r="D14" s="17">
        <v>-0.91929844877293876</v>
      </c>
      <c r="E14" s="17">
        <v>5.5435372807118813E-2</v>
      </c>
      <c r="F14" s="17">
        <v>0.57549880003715037</v>
      </c>
      <c r="G14" s="17">
        <v>-7.8130767923888636E-2</v>
      </c>
      <c r="H14" s="17">
        <v>0.24702421405352146</v>
      </c>
      <c r="I14" s="17">
        <v>4.5588836849257054E-2</v>
      </c>
      <c r="J14" s="17">
        <v>1.2266709433401008</v>
      </c>
      <c r="K14" s="10">
        <v>5</v>
      </c>
      <c r="L14" s="18">
        <v>5</v>
      </c>
      <c r="M14" s="22">
        <v>3</v>
      </c>
      <c r="N14" s="22">
        <f>VLOOKUP(A:A,'k-средних'!$A$2:$B$86,2,0)</f>
        <v>3</v>
      </c>
    </row>
    <row r="15" spans="1:14">
      <c r="A15" s="9" t="s">
        <v>33</v>
      </c>
      <c r="B15" s="17">
        <v>6.2319247743838443E-2</v>
      </c>
      <c r="C15" s="17">
        <v>0.1696515627600185</v>
      </c>
      <c r="D15" s="17">
        <v>-0.76771051926348632</v>
      </c>
      <c r="E15" s="17">
        <v>-4.0910265649299137E-2</v>
      </c>
      <c r="F15" s="17">
        <v>-0.52422621751927079</v>
      </c>
      <c r="G15" s="17">
        <v>0.28182884143973619</v>
      </c>
      <c r="H15" s="17">
        <v>1.6543337445192066</v>
      </c>
      <c r="I15" s="17">
        <v>-0.13820805479598527</v>
      </c>
      <c r="J15" s="17">
        <v>2.6322801509573357</v>
      </c>
      <c r="K15" s="10">
        <v>5</v>
      </c>
      <c r="L15" s="18">
        <v>5</v>
      </c>
      <c r="M15" s="22">
        <v>4</v>
      </c>
      <c r="N15" s="22">
        <f>VLOOKUP(A:A,'k-средних'!$A$2:$B$86,2,0)</f>
        <v>3</v>
      </c>
    </row>
    <row r="16" spans="1:14">
      <c r="A16" s="9" t="s">
        <v>34</v>
      </c>
      <c r="B16" s="17">
        <v>-0.77741889439293688</v>
      </c>
      <c r="C16" s="17">
        <v>-0.66122123010759259</v>
      </c>
      <c r="D16" s="17">
        <v>-0.16185257298303724</v>
      </c>
      <c r="E16" s="17">
        <v>-0.13960579772660534</v>
      </c>
      <c r="F16" s="17">
        <v>-0.56495677372506414</v>
      </c>
      <c r="G16" s="17">
        <v>0.53296345262366029</v>
      </c>
      <c r="H16" s="17">
        <v>0.86624040745842779</v>
      </c>
      <c r="I16" s="17">
        <v>-0.24542290825571142</v>
      </c>
      <c r="J16" s="17">
        <v>0.19235473396138203</v>
      </c>
      <c r="K16" s="10">
        <v>6</v>
      </c>
      <c r="L16" s="18">
        <v>5</v>
      </c>
      <c r="M16" s="22">
        <v>3</v>
      </c>
      <c r="N16" s="22">
        <f>VLOOKUP(A:A,'k-средних'!$A$2:$B$86,2,0)</f>
        <v>3</v>
      </c>
    </row>
    <row r="17" spans="1:14">
      <c r="A17" s="9" t="s">
        <v>35</v>
      </c>
      <c r="B17" s="17">
        <v>-1.2972781756142011E-3</v>
      </c>
      <c r="C17" s="17">
        <v>-0.47302017803187535</v>
      </c>
      <c r="D17" s="17">
        <v>-0.484285530538973</v>
      </c>
      <c r="E17" s="17">
        <v>0.27162558592883718</v>
      </c>
      <c r="F17" s="17">
        <v>1.3493793679472246</v>
      </c>
      <c r="G17" s="17">
        <v>0.41576730073782897</v>
      </c>
      <c r="H17" s="17">
        <v>0.58477850136529075</v>
      </c>
      <c r="I17" s="17">
        <v>-0.32200494644122979</v>
      </c>
      <c r="J17" s="17">
        <v>1.2399314075629042</v>
      </c>
      <c r="K17" s="10">
        <v>5</v>
      </c>
      <c r="L17" s="18">
        <v>5</v>
      </c>
      <c r="M17" s="22">
        <v>3</v>
      </c>
      <c r="N17" s="22">
        <f>VLOOKUP(A:A,'k-средних'!$A$2:$B$86,2,0)</f>
        <v>3</v>
      </c>
    </row>
    <row r="18" spans="1:14">
      <c r="A18" s="9" t="s">
        <v>36</v>
      </c>
      <c r="B18" s="17">
        <v>-0.6925968598336667</v>
      </c>
      <c r="C18" s="17">
        <v>0.13340543421210227</v>
      </c>
      <c r="D18" s="17">
        <v>0.24550912683878082</v>
      </c>
      <c r="E18" s="17">
        <v>-5.9709414616405082E-2</v>
      </c>
      <c r="F18" s="17">
        <v>0.77915158106611726</v>
      </c>
      <c r="G18" s="17">
        <v>0.47994614581816508</v>
      </c>
      <c r="H18" s="17">
        <v>0.86624040745842779</v>
      </c>
      <c r="I18" s="17">
        <v>-0.62833309918330316</v>
      </c>
      <c r="J18" s="17">
        <v>0.51060587530867918</v>
      </c>
      <c r="K18" s="10">
        <v>5</v>
      </c>
      <c r="L18" s="18">
        <v>5</v>
      </c>
      <c r="M18" s="22">
        <v>3</v>
      </c>
      <c r="N18" s="22">
        <f>VLOOKUP(A:A,'k-средних'!$A$2:$B$86,2,0)</f>
        <v>3</v>
      </c>
    </row>
    <row r="19" spans="1:14">
      <c r="A19" s="9" t="s">
        <v>37</v>
      </c>
      <c r="B19" s="53">
        <v>2.0853247719824322</v>
      </c>
      <c r="C19" s="53">
        <v>3.1014057295395236</v>
      </c>
      <c r="D19" s="53">
        <v>-0.81560637972738514</v>
      </c>
      <c r="E19" s="53">
        <v>5.274549104799906</v>
      </c>
      <c r="F19" s="53">
        <v>-1.0537234481945845</v>
      </c>
      <c r="G19" s="53">
        <v>-0.91803652310567929</v>
      </c>
      <c r="H19" s="53">
        <v>0.30331659527215366</v>
      </c>
      <c r="I19" s="53">
        <v>-0.44453620753805873</v>
      </c>
      <c r="J19" s="53">
        <v>-0.5634917267384516</v>
      </c>
      <c r="K19" s="10">
        <v>2</v>
      </c>
      <c r="L19" s="18">
        <v>4</v>
      </c>
      <c r="M19" s="22">
        <v>4</v>
      </c>
      <c r="N19" s="22">
        <f>VLOOKUP(A:A,'k-средних'!$A$2:$B$86,2,0)</f>
        <v>4</v>
      </c>
    </row>
    <row r="20" spans="1:14">
      <c r="A20" s="9" t="s">
        <v>38</v>
      </c>
      <c r="B20" s="17">
        <v>-0.21759346630175355</v>
      </c>
      <c r="C20" s="17">
        <v>0.67012695309470316</v>
      </c>
      <c r="D20" s="17">
        <v>3.1982642358502624</v>
      </c>
      <c r="E20" s="17">
        <v>-0.62368388362958338</v>
      </c>
      <c r="F20" s="17">
        <v>-0.76860955475403103</v>
      </c>
      <c r="G20" s="17">
        <v>1.1217345966215273</v>
      </c>
      <c r="H20" s="17">
        <v>-9.0730073258239771E-2</v>
      </c>
      <c r="I20" s="17">
        <v>-0.53643465336068208</v>
      </c>
      <c r="J20" s="17">
        <v>-0.37784522761919548</v>
      </c>
      <c r="K20" s="10">
        <v>6</v>
      </c>
      <c r="L20" s="18">
        <v>6</v>
      </c>
      <c r="M20" s="22">
        <v>2</v>
      </c>
      <c r="N20" s="22">
        <f>VLOOKUP(A:A,'k-средних'!$A$2:$B$86,2,0)</f>
        <v>1</v>
      </c>
    </row>
    <row r="21" spans="1:14">
      <c r="A21" s="9" t="s">
        <v>39</v>
      </c>
      <c r="B21" s="17">
        <v>-1.2821100000205943</v>
      </c>
      <c r="C21" s="17">
        <v>2.2496217086635002</v>
      </c>
      <c r="D21" s="17">
        <v>1.7312683447343571</v>
      </c>
      <c r="E21" s="17">
        <v>-0.69888047949800713</v>
      </c>
      <c r="F21" s="17">
        <v>4.6001569361836483E-2</v>
      </c>
      <c r="G21" s="17">
        <v>0.52180191434881906</v>
      </c>
      <c r="H21" s="17">
        <v>-1.4417472225053007</v>
      </c>
      <c r="I21" s="17">
        <v>0.48976465832526445</v>
      </c>
      <c r="J21" s="17">
        <v>-2.9503752868431885</v>
      </c>
      <c r="K21" s="10">
        <v>6</v>
      </c>
      <c r="L21" s="18">
        <v>6</v>
      </c>
      <c r="M21" s="22">
        <v>2</v>
      </c>
      <c r="N21" s="22">
        <f>VLOOKUP(A:A,'k-средних'!$A$2:$B$86,2,0)</f>
        <v>2</v>
      </c>
    </row>
    <row r="22" spans="1:14" ht="26.4">
      <c r="A22" s="11" t="s">
        <v>40</v>
      </c>
      <c r="B22" s="17">
        <v>2.2337633324611548</v>
      </c>
      <c r="C22" s="17">
        <v>-0.39076934786545114</v>
      </c>
      <c r="D22" s="17">
        <v>2.5237720152968031</v>
      </c>
      <c r="E22" s="17">
        <v>-0.73436387317341967</v>
      </c>
      <c r="F22" s="17">
        <v>-0.15765121166713039</v>
      </c>
      <c r="G22" s="17">
        <v>-1.6798115103635827</v>
      </c>
      <c r="H22" s="17">
        <v>-2.0609634159101988</v>
      </c>
      <c r="I22" s="17">
        <v>-2.1599738628936702</v>
      </c>
      <c r="J22" s="17">
        <v>-0.52371033407003975</v>
      </c>
      <c r="K22" s="10">
        <v>6</v>
      </c>
      <c r="L22" s="18">
        <v>6</v>
      </c>
      <c r="M22" s="22">
        <v>2</v>
      </c>
      <c r="N22" s="22">
        <f>VLOOKUP(A:A,'k-средних'!$A$2:$B$86,2,0)</f>
        <v>1</v>
      </c>
    </row>
    <row r="23" spans="1:14" ht="39.6">
      <c r="A23" s="9" t="s">
        <v>41</v>
      </c>
      <c r="B23" s="17">
        <v>-0.70532016501755712</v>
      </c>
      <c r="C23" s="17">
        <v>1.9666230896163106</v>
      </c>
      <c r="D23" s="17">
        <v>1.240459217918737</v>
      </c>
      <c r="E23" s="17">
        <v>-0.66833186242645992</v>
      </c>
      <c r="F23" s="17">
        <v>-0.15765121166713039</v>
      </c>
      <c r="G23" s="17">
        <v>-0.65015960450949373</v>
      </c>
      <c r="H23" s="17">
        <v>-1.1602853164121636</v>
      </c>
      <c r="I23" s="17">
        <v>-1.3635206657642791</v>
      </c>
      <c r="J23" s="17">
        <v>-0.55023126251564836</v>
      </c>
      <c r="K23" s="10">
        <v>6</v>
      </c>
      <c r="L23" s="18">
        <v>6</v>
      </c>
      <c r="M23" s="22">
        <v>2</v>
      </c>
      <c r="N23" s="22">
        <f>VLOOKUP(A:A,'k-средних'!$A$2:$B$86,2,0)</f>
        <v>2</v>
      </c>
    </row>
    <row r="24" spans="1:14">
      <c r="A24" s="9" t="s">
        <v>42</v>
      </c>
      <c r="B24" s="17">
        <v>0.206516706494598</v>
      </c>
      <c r="C24" s="17">
        <v>0.51538386583244644</v>
      </c>
      <c r="D24" s="17">
        <v>1.2162644018081072</v>
      </c>
      <c r="E24" s="17">
        <v>-0.47564058551362404</v>
      </c>
      <c r="F24" s="17">
        <v>-0.85007066716561774</v>
      </c>
      <c r="G24" s="17">
        <v>0.47436537668074447</v>
      </c>
      <c r="H24" s="17">
        <v>-0.76623864788177021</v>
      </c>
      <c r="I24" s="17">
        <v>-1.133774551207724</v>
      </c>
      <c r="J24" s="17">
        <v>-0.37784522761919548</v>
      </c>
      <c r="K24" s="10">
        <v>6</v>
      </c>
      <c r="L24" s="18">
        <v>5</v>
      </c>
      <c r="M24" s="22">
        <v>2</v>
      </c>
      <c r="N24" s="22">
        <f>VLOOKUP(A:A,'k-средних'!$A$2:$B$86,2,0)</f>
        <v>1</v>
      </c>
    </row>
    <row r="25" spans="1:14" ht="26.4">
      <c r="A25" s="9" t="s">
        <v>43</v>
      </c>
      <c r="B25" s="17">
        <v>-0.1115659231026658</v>
      </c>
      <c r="C25" s="17">
        <v>0.5753293861232307</v>
      </c>
      <c r="D25" s="17">
        <v>-0.22505535792508877</v>
      </c>
      <c r="E25" s="17">
        <v>0.483116011808779</v>
      </c>
      <c r="F25" s="17">
        <v>0.37184601900818348</v>
      </c>
      <c r="G25" s="17">
        <v>7.5340383355176135E-2</v>
      </c>
      <c r="H25" s="17">
        <v>0.97882516989568413</v>
      </c>
      <c r="I25" s="17">
        <v>-3.6038606205352359E-4</v>
      </c>
      <c r="J25" s="17">
        <v>1.2929732644541214</v>
      </c>
      <c r="K25" s="10">
        <v>5</v>
      </c>
      <c r="L25" s="18">
        <v>5</v>
      </c>
      <c r="M25" s="22">
        <v>3</v>
      </c>
      <c r="N25" s="22">
        <f>VLOOKUP(A:A,'k-средних'!$A$2:$B$86,2,0)</f>
        <v>3</v>
      </c>
    </row>
    <row r="26" spans="1:14">
      <c r="A26" s="9" t="s">
        <v>44</v>
      </c>
      <c r="B26" s="17">
        <v>2.089565873710395</v>
      </c>
      <c r="C26" s="17">
        <v>-0.9079737206068661</v>
      </c>
      <c r="D26" s="17">
        <v>-0.75141605127061373</v>
      </c>
      <c r="E26" s="17">
        <v>-0.21480239359502912</v>
      </c>
      <c r="F26" s="17">
        <v>-0.56495677372506414</v>
      </c>
      <c r="G26" s="17">
        <v>-0.43250960815009282</v>
      </c>
      <c r="H26" s="17">
        <v>0.41590135770941011</v>
      </c>
      <c r="I26" s="17">
        <v>-1.2256729970303473</v>
      </c>
      <c r="J26" s="17">
        <v>-1.1867335452102443</v>
      </c>
      <c r="K26" s="10">
        <v>5</v>
      </c>
      <c r="L26" s="18">
        <v>5</v>
      </c>
      <c r="M26" s="22">
        <v>4</v>
      </c>
      <c r="N26" s="22">
        <f>VLOOKUP(A:A,'k-средних'!$A$2:$B$86,2,0)</f>
        <v>1</v>
      </c>
    </row>
    <row r="27" spans="1:14">
      <c r="A27" s="9" t="s">
        <v>45</v>
      </c>
      <c r="B27" s="17">
        <v>-1.154876948181689</v>
      </c>
      <c r="C27" s="17">
        <v>0.44149752686938776</v>
      </c>
      <c r="D27" s="17">
        <v>0.39808459986295258</v>
      </c>
      <c r="E27" s="17">
        <v>-0.68243122415178947</v>
      </c>
      <c r="F27" s="17">
        <v>0.29038490659659671</v>
      </c>
      <c r="G27" s="17">
        <v>-9.7663459904860583E-2</v>
      </c>
      <c r="H27" s="17">
        <v>0.52848612014665852</v>
      </c>
      <c r="I27" s="17">
        <v>-3.1555403593054092</v>
      </c>
      <c r="J27" s="17">
        <v>-0.53697079829284311</v>
      </c>
      <c r="K27" s="10">
        <v>6</v>
      </c>
      <c r="L27" s="18">
        <v>6</v>
      </c>
      <c r="M27" s="22">
        <v>2</v>
      </c>
      <c r="N27" s="22">
        <f>VLOOKUP(A:A,'k-средних'!$A$2:$B$86,2,0)</f>
        <v>2</v>
      </c>
    </row>
    <row r="28" spans="1:14">
      <c r="A28" s="9" t="s">
        <v>46</v>
      </c>
      <c r="B28" s="17">
        <v>-0.24728117839749822</v>
      </c>
      <c r="C28" s="17">
        <v>3.9434311773449542</v>
      </c>
      <c r="D28" s="17">
        <v>-0.43243949601619613</v>
      </c>
      <c r="E28" s="17">
        <v>-0.26650005325457043</v>
      </c>
      <c r="F28" s="17">
        <v>-0.27984288028451054</v>
      </c>
      <c r="G28" s="17">
        <v>0.61388460511625786</v>
      </c>
      <c r="H28" s="17">
        <v>-0.48477674178863323</v>
      </c>
      <c r="I28" s="17">
        <v>0.15280369030898319</v>
      </c>
      <c r="J28" s="17">
        <v>0.15257334129296823</v>
      </c>
      <c r="K28" s="10">
        <v>4</v>
      </c>
      <c r="L28" s="18">
        <v>6</v>
      </c>
      <c r="M28" s="22">
        <v>2</v>
      </c>
      <c r="N28" s="22">
        <f>VLOOKUP(A:A,'k-средних'!$A$2:$B$86,2,0)</f>
        <v>2</v>
      </c>
    </row>
    <row r="29" spans="1:14">
      <c r="A29" s="9" t="s">
        <v>47</v>
      </c>
      <c r="B29" s="17">
        <v>-0.87496423413609747</v>
      </c>
      <c r="C29" s="17">
        <v>0.33136505935841204</v>
      </c>
      <c r="D29" s="17">
        <v>-0.54551322845158556</v>
      </c>
      <c r="E29" s="17">
        <v>3.7377131475774743E-3</v>
      </c>
      <c r="F29" s="17">
        <v>2.2047210482688855</v>
      </c>
      <c r="G29" s="17">
        <v>0.93198844594922869</v>
      </c>
      <c r="H29" s="17">
        <v>-1.6669167473798054</v>
      </c>
      <c r="I29" s="17">
        <v>-0.79681358319144491</v>
      </c>
      <c r="J29" s="17">
        <v>-1.0673893672050068</v>
      </c>
      <c r="K29" s="10">
        <v>6</v>
      </c>
      <c r="L29" s="18">
        <v>6</v>
      </c>
      <c r="M29" s="22">
        <v>1</v>
      </c>
      <c r="N29" s="22">
        <f>VLOOKUP(A:A,'k-средних'!$A$2:$B$86,2,0)</f>
        <v>2</v>
      </c>
    </row>
    <row r="30" spans="1:14">
      <c r="A30" s="9" t="s">
        <v>48</v>
      </c>
      <c r="B30" s="53">
        <v>-0.42964855269992902</v>
      </c>
      <c r="C30" s="53">
        <v>1.1873313258361189</v>
      </c>
      <c r="D30" s="53">
        <v>0.86766154111210292</v>
      </c>
      <c r="E30" s="53">
        <v>5.2651495303163527</v>
      </c>
      <c r="F30" s="53">
        <v>0.33111546280239013</v>
      </c>
      <c r="G30" s="53">
        <v>-0.82037306320081993</v>
      </c>
      <c r="H30" s="53">
        <v>0.19073183283489725</v>
      </c>
      <c r="I30" s="53">
        <v>-0.79681358319144491</v>
      </c>
      <c r="J30" s="53">
        <v>0.92168026621560717</v>
      </c>
      <c r="K30" s="10">
        <v>2</v>
      </c>
      <c r="L30" s="18">
        <v>4</v>
      </c>
      <c r="M30" s="22">
        <v>4</v>
      </c>
      <c r="N30" s="22">
        <f>VLOOKUP(A:A,'k-средних'!$A$2:$B$86,2,0)</f>
        <v>4</v>
      </c>
    </row>
    <row r="31" spans="1:14">
      <c r="A31" s="9" t="s">
        <v>49</v>
      </c>
      <c r="B31" s="17">
        <v>1.2031756125660227</v>
      </c>
      <c r="C31" s="17">
        <v>-0.66819163944373028</v>
      </c>
      <c r="D31" s="17">
        <v>-1.104956629540216</v>
      </c>
      <c r="E31" s="17">
        <v>0.61471005457852057</v>
      </c>
      <c r="F31" s="17">
        <v>-0.6056873299308575</v>
      </c>
      <c r="G31" s="17">
        <v>-0.32089422540168205</v>
      </c>
      <c r="H31" s="17">
        <v>-1.9483786534729426</v>
      </c>
      <c r="I31" s="17">
        <v>0.41318262013974605</v>
      </c>
      <c r="J31" s="17">
        <v>-1.2928172589926767</v>
      </c>
      <c r="K31" s="10">
        <v>6</v>
      </c>
      <c r="L31" s="18">
        <v>5</v>
      </c>
      <c r="M31" s="22">
        <v>3</v>
      </c>
      <c r="N31" s="22">
        <f>VLOOKUP(A:A,'k-средних'!$A$2:$B$86,2,0)</f>
        <v>1</v>
      </c>
    </row>
    <row r="32" spans="1:14">
      <c r="A32" s="9" t="s">
        <v>50</v>
      </c>
      <c r="B32" s="17">
        <v>0.66879679484261956</v>
      </c>
      <c r="C32" s="17">
        <v>-0.29457769902675074</v>
      </c>
      <c r="D32" s="17">
        <v>-0.90053512199326735</v>
      </c>
      <c r="E32" s="17">
        <v>-0.6166342027669186</v>
      </c>
      <c r="F32" s="17">
        <v>-0.40203454890189066</v>
      </c>
      <c r="G32" s="17">
        <v>3.4377537886510501</v>
      </c>
      <c r="H32" s="17">
        <v>1.4291642196447019</v>
      </c>
      <c r="I32" s="17">
        <v>-0.2607393158928164</v>
      </c>
      <c r="J32" s="17">
        <v>-7.2854550494699827E-2</v>
      </c>
      <c r="K32" s="10">
        <v>5</v>
      </c>
      <c r="L32" s="18">
        <v>1</v>
      </c>
      <c r="M32" s="22">
        <v>3</v>
      </c>
      <c r="N32" s="22">
        <f>VLOOKUP(A:A,'k-средних'!$A$2:$B$86,2,0)</f>
        <v>3</v>
      </c>
    </row>
    <row r="33" spans="1:14">
      <c r="A33" s="9" t="s">
        <v>51</v>
      </c>
      <c r="B33" s="17">
        <v>-0.18366465247804559</v>
      </c>
      <c r="C33" s="17">
        <v>-1.4419070757550121</v>
      </c>
      <c r="D33" s="17">
        <v>-1.1503836312173152</v>
      </c>
      <c r="E33" s="17">
        <v>0.47606633094611428</v>
      </c>
      <c r="F33" s="17">
        <v>0.57549880003715037</v>
      </c>
      <c r="G33" s="17">
        <v>-0.90129421569341783</v>
      </c>
      <c r="H33" s="17">
        <v>0.86624040745842779</v>
      </c>
      <c r="I33" s="17">
        <v>1.6844444540193504</v>
      </c>
      <c r="J33" s="17">
        <v>0.56364773219989628</v>
      </c>
      <c r="K33" s="10">
        <v>3</v>
      </c>
      <c r="L33" s="18">
        <v>5</v>
      </c>
      <c r="M33" s="22">
        <v>4</v>
      </c>
      <c r="N33" s="22">
        <f>VLOOKUP(A:A,'k-средних'!$A$2:$B$86,2,0)</f>
        <v>3</v>
      </c>
    </row>
    <row r="34" spans="1:14">
      <c r="A34" s="9" t="s">
        <v>52</v>
      </c>
      <c r="B34" s="17">
        <v>0.42281289462073673</v>
      </c>
      <c r="C34" s="17">
        <v>-0.85499860965221997</v>
      </c>
      <c r="D34" s="17">
        <v>-0.72919632218942365</v>
      </c>
      <c r="E34" s="17">
        <v>0.41026930956124347</v>
      </c>
      <c r="F34" s="17">
        <v>-0.15765121166713039</v>
      </c>
      <c r="G34" s="17">
        <v>0.13393845929809201</v>
      </c>
      <c r="H34" s="17">
        <v>0.6973632638025471</v>
      </c>
      <c r="I34" s="17">
        <v>-1.3635206657642791</v>
      </c>
      <c r="J34" s="17">
        <v>0.36474076885783485</v>
      </c>
      <c r="K34" s="10">
        <v>5</v>
      </c>
      <c r="L34" s="18">
        <v>5</v>
      </c>
      <c r="M34" s="22">
        <v>4</v>
      </c>
      <c r="N34" s="22">
        <v>3</v>
      </c>
    </row>
    <row r="35" spans="1:14">
      <c r="A35" s="9" t="s">
        <v>53</v>
      </c>
      <c r="B35" s="17">
        <v>-0.43813075615585617</v>
      </c>
      <c r="C35" s="17">
        <v>-0.36567587425535536</v>
      </c>
      <c r="D35" s="17">
        <v>-0.78548630252843843</v>
      </c>
      <c r="E35" s="17">
        <v>-0.53908771327760663</v>
      </c>
      <c r="F35" s="17">
        <v>0.57549880003715037</v>
      </c>
      <c r="G35" s="17">
        <v>-2.5113461118393368E-2</v>
      </c>
      <c r="H35" s="17">
        <v>-0.31589959813275259</v>
      </c>
      <c r="I35" s="17">
        <v>1.0717881485352034</v>
      </c>
      <c r="J35" s="17">
        <v>-9.937547894030839E-2</v>
      </c>
      <c r="K35" s="10">
        <v>5</v>
      </c>
      <c r="L35" s="18">
        <v>5</v>
      </c>
      <c r="M35" s="22">
        <v>3</v>
      </c>
      <c r="N35" s="22">
        <f>VLOOKUP(A:A,'k-средних'!$A$2:$B$86,2,0)</f>
        <v>3</v>
      </c>
    </row>
    <row r="36" spans="1:14">
      <c r="A36" s="9" t="s">
        <v>54</v>
      </c>
      <c r="B36" s="17">
        <v>-0.51447058725919925</v>
      </c>
      <c r="C36" s="17">
        <v>-0.39913383906881589</v>
      </c>
      <c r="D36" s="17">
        <v>-0.97558842911195354</v>
      </c>
      <c r="E36" s="17">
        <v>-0.37459515981542962</v>
      </c>
      <c r="F36" s="17">
        <v>-0.68714844234244421</v>
      </c>
      <c r="G36" s="17">
        <v>2.790384568709317E-3</v>
      </c>
      <c r="H36" s="17">
        <v>0.13443945161627305</v>
      </c>
      <c r="I36" s="17">
        <v>0.61229591942209338</v>
      </c>
      <c r="J36" s="17">
        <v>1.637745334247027</v>
      </c>
      <c r="K36" s="10">
        <v>5</v>
      </c>
      <c r="L36" s="18">
        <v>5</v>
      </c>
      <c r="M36" s="22">
        <v>3</v>
      </c>
      <c r="N36" s="22">
        <f>VLOOKUP(A:A,'k-средних'!$A$2:$B$86,2,0)</f>
        <v>3</v>
      </c>
    </row>
    <row r="37" spans="1:14">
      <c r="A37" s="9" t="s">
        <v>55</v>
      </c>
      <c r="B37" s="17">
        <v>-0.46357736652363696</v>
      </c>
      <c r="C37" s="17">
        <v>0.92942618039902491</v>
      </c>
      <c r="D37" s="17">
        <v>-0.27295121838898762</v>
      </c>
      <c r="E37" s="17">
        <v>-9.0258031687952239E-2</v>
      </c>
      <c r="F37" s="17">
        <v>-0.56495677372506414</v>
      </c>
      <c r="G37" s="17">
        <v>-0.83153460147566116</v>
      </c>
      <c r="H37" s="17">
        <v>1.0351175511143083</v>
      </c>
      <c r="I37" s="17">
        <v>0.48976465832526445</v>
      </c>
      <c r="J37" s="17">
        <v>0.47082448264026722</v>
      </c>
      <c r="K37" s="10">
        <v>5</v>
      </c>
      <c r="L37" s="18">
        <v>5</v>
      </c>
      <c r="M37" s="22">
        <v>3</v>
      </c>
      <c r="N37" s="22">
        <f>VLOOKUP(A:A,'k-средних'!$A$2:$B$86,2,0)</f>
        <v>3</v>
      </c>
    </row>
    <row r="38" spans="1:14">
      <c r="A38" s="9" t="s">
        <v>56</v>
      </c>
      <c r="B38" s="17">
        <v>1.0250493399915546</v>
      </c>
      <c r="C38" s="17">
        <v>-1.4990644323113409</v>
      </c>
      <c r="D38" s="17">
        <v>-1.5928031258116779</v>
      </c>
      <c r="E38" s="17">
        <v>2.0904432484963369</v>
      </c>
      <c r="F38" s="17">
        <v>0.94207380588929068</v>
      </c>
      <c r="G38" s="17">
        <v>-0.6278365279598116</v>
      </c>
      <c r="H38" s="17">
        <v>1.3165794572074454</v>
      </c>
      <c r="I38" s="17">
        <v>1.8222921227532842</v>
      </c>
      <c r="J38" s="17">
        <v>0.56364773219989628</v>
      </c>
      <c r="K38" s="10">
        <v>3</v>
      </c>
      <c r="L38" s="18">
        <v>5</v>
      </c>
      <c r="M38" s="22">
        <v>4</v>
      </c>
      <c r="N38" s="22">
        <f>VLOOKUP(A:A,'k-средних'!$A$2:$B$86,2,0)</f>
        <v>4</v>
      </c>
    </row>
    <row r="39" spans="1:14">
      <c r="A39" s="9" t="s">
        <v>57</v>
      </c>
      <c r="B39" s="17">
        <v>0.63486798101891218</v>
      </c>
      <c r="C39" s="17">
        <v>-2.8722350715304628</v>
      </c>
      <c r="D39" s="17">
        <v>-0.23986851064588216</v>
      </c>
      <c r="E39" s="17">
        <v>0.34212239455548443</v>
      </c>
      <c r="F39" s="17">
        <v>-0.44276510510768402</v>
      </c>
      <c r="G39" s="17">
        <v>-1.3896115152177149</v>
      </c>
      <c r="H39" s="17">
        <v>2.1046727942682324</v>
      </c>
      <c r="I39" s="17">
        <v>0.16812009794608818</v>
      </c>
      <c r="J39" s="17">
        <v>0.32495937618942294</v>
      </c>
      <c r="K39" s="10">
        <v>3</v>
      </c>
      <c r="L39" s="18">
        <v>5</v>
      </c>
      <c r="M39" s="22">
        <v>4</v>
      </c>
      <c r="N39" s="22">
        <f>VLOOKUP(A:A,'k-средних'!$A$2:$B$86,2,0)</f>
        <v>3</v>
      </c>
    </row>
    <row r="40" spans="1:14">
      <c r="A40" s="9" t="s">
        <v>58</v>
      </c>
      <c r="B40" s="17">
        <v>4.1295358048608444</v>
      </c>
      <c r="C40" s="17">
        <v>-2.0748202434763128</v>
      </c>
      <c r="D40" s="17">
        <v>-1.637736355731418</v>
      </c>
      <c r="E40" s="17">
        <v>1.7309095245004358</v>
      </c>
      <c r="F40" s="17">
        <v>-0.15765121166713039</v>
      </c>
      <c r="G40" s="17">
        <v>-1.7411999708752086</v>
      </c>
      <c r="H40" s="17">
        <v>-0.31589959813275259</v>
      </c>
      <c r="I40" s="17">
        <v>0.81140921870444072</v>
      </c>
      <c r="J40" s="17">
        <v>5.9750091733341101E-2</v>
      </c>
      <c r="K40" s="10">
        <v>3</v>
      </c>
      <c r="L40" s="18">
        <v>5</v>
      </c>
      <c r="M40" s="22">
        <v>4</v>
      </c>
      <c r="N40" s="22">
        <f>VLOOKUP(A:A,'k-средних'!$A$2:$B$86,2,0)</f>
        <v>4</v>
      </c>
    </row>
    <row r="41" spans="1:14" ht="26.4">
      <c r="A41" s="9" t="s">
        <v>59</v>
      </c>
      <c r="B41" s="17">
        <v>0.91053959333654033</v>
      </c>
      <c r="C41" s="17">
        <v>-1.418207684012144</v>
      </c>
      <c r="D41" s="17">
        <v>-1.5641643638848108</v>
      </c>
      <c r="E41" s="17">
        <v>0.89199750184333326</v>
      </c>
      <c r="F41" s="17">
        <v>1.8788765986225384</v>
      </c>
      <c r="G41" s="17">
        <v>-0.75340383355177365</v>
      </c>
      <c r="H41" s="17">
        <v>1.0351175511143083</v>
      </c>
      <c r="I41" s="17">
        <v>-0.56706746863488988</v>
      </c>
      <c r="J41" s="17">
        <v>-0.19219872849993741</v>
      </c>
      <c r="K41" s="10">
        <v>3</v>
      </c>
      <c r="L41" s="18">
        <v>5</v>
      </c>
      <c r="M41" s="22">
        <v>4</v>
      </c>
      <c r="N41" s="22">
        <f>VLOOKUP(A:A,'k-средних'!$A$2:$B$86,2,0)</f>
        <v>3</v>
      </c>
    </row>
    <row r="42" spans="1:14" ht="26.4">
      <c r="A42" s="9" t="s">
        <v>60</v>
      </c>
      <c r="B42" s="17">
        <v>1.3134442574930738</v>
      </c>
      <c r="C42" s="17">
        <v>-0.94700801288923719</v>
      </c>
      <c r="D42" s="17">
        <v>0.41882301367206354</v>
      </c>
      <c r="E42" s="17">
        <v>0.11183281970843664</v>
      </c>
      <c r="F42" s="17">
        <v>-1.6646817912814853</v>
      </c>
      <c r="G42" s="17">
        <v>-0.73387114157080169</v>
      </c>
      <c r="H42" s="17">
        <v>0.64107088258391487</v>
      </c>
      <c r="I42" s="17">
        <v>-1.5473175574095235</v>
      </c>
      <c r="J42" s="17">
        <v>3.3229163287732538E-2</v>
      </c>
      <c r="K42" s="10">
        <v>5</v>
      </c>
      <c r="L42" s="18">
        <v>5</v>
      </c>
      <c r="M42" s="22">
        <v>4</v>
      </c>
      <c r="N42" s="22">
        <f>VLOOKUP(A:A,'k-средних'!$A$2:$B$86,2,0)</f>
        <v>1</v>
      </c>
    </row>
    <row r="43" spans="1:14" ht="26.4">
      <c r="A43" s="9" t="s">
        <v>61</v>
      </c>
      <c r="B43" s="53">
        <v>-0.71804347020144754</v>
      </c>
      <c r="C43" s="53">
        <v>-0.29736586276120569</v>
      </c>
      <c r="D43" s="53">
        <v>-0.91682958998613984</v>
      </c>
      <c r="E43" s="53">
        <v>0.93664548064020992</v>
      </c>
      <c r="F43" s="53">
        <v>4.3227099709701404</v>
      </c>
      <c r="G43" s="53">
        <v>0.97105382991117262</v>
      </c>
      <c r="H43" s="53">
        <v>1.2602870759888212</v>
      </c>
      <c r="I43" s="53">
        <v>3.18545240245551</v>
      </c>
      <c r="J43" s="53">
        <v>-1.2530358663242649</v>
      </c>
      <c r="K43" s="10">
        <v>1</v>
      </c>
      <c r="L43" s="18">
        <v>2</v>
      </c>
      <c r="M43" s="22">
        <v>1</v>
      </c>
      <c r="N43" s="22">
        <f>VLOOKUP(A:A,'k-средних'!$A$2:$B$86,2,0)</f>
        <v>3</v>
      </c>
    </row>
    <row r="44" spans="1:14">
      <c r="A44" s="9" t="s">
        <v>62</v>
      </c>
      <c r="B44" s="17">
        <v>2.1955934169094831</v>
      </c>
      <c r="C44" s="17">
        <v>-1.5617981163365799</v>
      </c>
      <c r="D44" s="17">
        <v>-2.0480606860973949</v>
      </c>
      <c r="E44" s="17">
        <v>0.79800175700780351</v>
      </c>
      <c r="F44" s="17">
        <v>-0.15765121166713039</v>
      </c>
      <c r="G44" s="17">
        <v>-2.516926880976663</v>
      </c>
      <c r="H44" s="17">
        <v>-0.37219197935137682</v>
      </c>
      <c r="I44" s="17">
        <v>0.45913184305105664</v>
      </c>
      <c r="J44" s="17">
        <v>-1.213254473655853</v>
      </c>
      <c r="K44" s="10">
        <v>3</v>
      </c>
      <c r="L44" s="18">
        <v>5</v>
      </c>
      <c r="M44" s="22">
        <v>4</v>
      </c>
      <c r="N44" s="22">
        <f>VLOOKUP(A:A,'k-средних'!$A$2:$B$86,2,0)</f>
        <v>4</v>
      </c>
    </row>
    <row r="45" spans="1:14">
      <c r="A45" s="9" t="s">
        <v>63</v>
      </c>
      <c r="B45" s="17">
        <v>-2.6743888543395621E-2</v>
      </c>
      <c r="C45" s="17">
        <v>-1.1589084567078223</v>
      </c>
      <c r="D45" s="17">
        <v>0.15860529754345953</v>
      </c>
      <c r="E45" s="17">
        <v>-7.6158669962622785E-2</v>
      </c>
      <c r="F45" s="17">
        <v>-1.0944540044003781</v>
      </c>
      <c r="G45" s="17">
        <v>-0.2706673031648969</v>
      </c>
      <c r="H45" s="17">
        <v>1.7106261257378388</v>
      </c>
      <c r="I45" s="17">
        <v>1.9754561991243211</v>
      </c>
      <c r="J45" s="17">
        <v>0.3912616973034434</v>
      </c>
      <c r="K45" s="10">
        <v>5</v>
      </c>
      <c r="L45" s="18">
        <v>5</v>
      </c>
      <c r="M45" s="22">
        <v>3</v>
      </c>
      <c r="N45" s="22">
        <f>VLOOKUP(A:A,'k-средних'!$A$2:$B$86,2,0)</f>
        <v>3</v>
      </c>
    </row>
    <row r="46" spans="1:14" ht="26.4">
      <c r="A46" s="9" t="s">
        <v>64</v>
      </c>
      <c r="B46" s="17">
        <v>0.3549552669733208</v>
      </c>
      <c r="C46" s="17">
        <v>-0.52738937085374893</v>
      </c>
      <c r="D46" s="17">
        <v>1.569804980077709</v>
      </c>
      <c r="E46" s="17">
        <v>3.4286330219124632E-2</v>
      </c>
      <c r="F46" s="17">
        <v>4.6001569361836483E-2</v>
      </c>
      <c r="G46" s="17">
        <v>-0.77293652553274528</v>
      </c>
      <c r="H46" s="17">
        <v>-0.20331483569549619</v>
      </c>
      <c r="I46" s="17">
        <v>0.26001854376870936</v>
      </c>
      <c r="J46" s="17">
        <v>-0.28502197805956647</v>
      </c>
      <c r="K46" s="10">
        <v>5</v>
      </c>
      <c r="L46" s="18">
        <v>5</v>
      </c>
      <c r="M46" s="22">
        <v>3</v>
      </c>
      <c r="N46" s="22">
        <f>VLOOKUP(A:A,'k-средних'!$A$2:$B$86,2,0)</f>
        <v>1</v>
      </c>
    </row>
    <row r="47" spans="1:14">
      <c r="A47" s="9" t="s">
        <v>65</v>
      </c>
      <c r="B47" s="17">
        <v>0.33374975833350329</v>
      </c>
      <c r="C47" s="17">
        <v>0.25887280226258041</v>
      </c>
      <c r="D47" s="17">
        <v>0.48202579861411504</v>
      </c>
      <c r="E47" s="17">
        <v>-0.20540281911147615</v>
      </c>
      <c r="F47" s="17">
        <v>-0.52422621751927079</v>
      </c>
      <c r="G47" s="17">
        <v>0.29299037971457703</v>
      </c>
      <c r="H47" s="17">
        <v>0.75365564502117133</v>
      </c>
      <c r="I47" s="17">
        <v>1.5312803776483137</v>
      </c>
      <c r="J47" s="17">
        <v>-0.36458476339639023</v>
      </c>
      <c r="K47" s="10">
        <v>5</v>
      </c>
      <c r="L47" s="18">
        <v>5</v>
      </c>
      <c r="M47" s="22">
        <v>3</v>
      </c>
      <c r="N47" s="22">
        <f>VLOOKUP(A:A,'k-средних'!$A$2:$B$86,2,0)</f>
        <v>3</v>
      </c>
    </row>
    <row r="48" spans="1:14">
      <c r="A48" s="9" t="s">
        <v>66</v>
      </c>
      <c r="B48" s="17">
        <v>1.1013891710948982</v>
      </c>
      <c r="C48" s="17">
        <v>-0.71280225919501117</v>
      </c>
      <c r="D48" s="17">
        <v>-1.0634798019219946</v>
      </c>
      <c r="E48" s="17">
        <v>-1.9761223061304952E-2</v>
      </c>
      <c r="F48" s="17">
        <v>-0.23911232407871713</v>
      </c>
      <c r="G48" s="17">
        <v>-0.56086729831076498</v>
      </c>
      <c r="H48" s="17">
        <v>-0.76623864788177021</v>
      </c>
      <c r="I48" s="17">
        <v>1.9295069762130104</v>
      </c>
      <c r="J48" s="17">
        <v>-0.37784522761919548</v>
      </c>
      <c r="K48" s="10">
        <v>5</v>
      </c>
      <c r="L48" s="18">
        <v>5</v>
      </c>
      <c r="M48" s="22">
        <v>3</v>
      </c>
      <c r="N48" s="22">
        <f>VLOOKUP(A:A,'k-средних'!$A$2:$B$86,2,0)</f>
        <v>3</v>
      </c>
    </row>
    <row r="49" spans="1:14">
      <c r="A49" s="9" t="s">
        <v>67</v>
      </c>
      <c r="B49" s="17">
        <v>1.5000527335234684</v>
      </c>
      <c r="C49" s="17">
        <v>-1.0292588430556617</v>
      </c>
      <c r="D49" s="17">
        <v>-0.13469512632824934</v>
      </c>
      <c r="E49" s="17">
        <v>0.39851984145680225</v>
      </c>
      <c r="F49" s="17">
        <v>-1.7868734598988654</v>
      </c>
      <c r="G49" s="17">
        <v>-0.52738268348624173</v>
      </c>
      <c r="H49" s="17">
        <v>0.97882516989568413</v>
      </c>
      <c r="I49" s="17">
        <v>0.3059677666800199</v>
      </c>
      <c r="J49" s="17">
        <v>2.6853220078485491</v>
      </c>
      <c r="K49" s="10">
        <v>5</v>
      </c>
      <c r="L49" s="18">
        <v>5</v>
      </c>
      <c r="M49" s="22">
        <v>4</v>
      </c>
      <c r="N49" s="22">
        <f>VLOOKUP(A:A,'k-средних'!$A$2:$B$86,2,0)</f>
        <v>3</v>
      </c>
    </row>
    <row r="50" spans="1:14" ht="26.4">
      <c r="A50" s="9" t="s">
        <v>68</v>
      </c>
      <c r="B50" s="17">
        <v>-0.11580702483062907</v>
      </c>
      <c r="C50" s="17">
        <v>0.19753320010456921</v>
      </c>
      <c r="D50" s="17">
        <v>0.81433419131724694</v>
      </c>
      <c r="E50" s="17">
        <v>-9.7307712550616959E-2</v>
      </c>
      <c r="F50" s="17">
        <v>-1.4202984540467249</v>
      </c>
      <c r="G50" s="17">
        <v>-0.19253653524100947</v>
      </c>
      <c r="H50" s="17">
        <v>0.92253278867705191</v>
      </c>
      <c r="I50" s="17">
        <v>0.97988970271258236</v>
      </c>
      <c r="J50" s="17">
        <v>0.1393128770701649</v>
      </c>
      <c r="K50" s="10">
        <v>5</v>
      </c>
      <c r="L50" s="18">
        <v>5</v>
      </c>
      <c r="M50" s="22">
        <v>3</v>
      </c>
      <c r="N50" s="22">
        <f>VLOOKUP(A:A,'k-средних'!$A$2:$B$86,2,0)</f>
        <v>1</v>
      </c>
    </row>
    <row r="51" spans="1:14">
      <c r="A51" s="9" t="s">
        <v>69</v>
      </c>
      <c r="B51" s="17">
        <v>-2.2502786815431747E-2</v>
      </c>
      <c r="C51" s="17">
        <v>0.74401329205776268</v>
      </c>
      <c r="D51" s="17">
        <v>-0.20678580290277726</v>
      </c>
      <c r="E51" s="17">
        <v>0.38442047973147281</v>
      </c>
      <c r="F51" s="17">
        <v>0.29038490659659671</v>
      </c>
      <c r="G51" s="17">
        <v>-0.86501921630018441</v>
      </c>
      <c r="H51" s="17">
        <v>1.2039946947701889</v>
      </c>
      <c r="I51" s="17">
        <v>0.12217087503477542</v>
      </c>
      <c r="J51" s="17">
        <v>-0.19219872849993741</v>
      </c>
      <c r="K51" s="10">
        <v>5</v>
      </c>
      <c r="L51" s="18">
        <v>5</v>
      </c>
      <c r="M51" s="22">
        <v>3</v>
      </c>
      <c r="N51" s="22">
        <f>VLOOKUP(A:A,'k-средних'!$A$2:$B$86,2,0)</f>
        <v>3</v>
      </c>
    </row>
    <row r="52" spans="1:14">
      <c r="A52" s="9" t="s">
        <v>70</v>
      </c>
      <c r="B52" s="17">
        <v>0.21924001167848781</v>
      </c>
      <c r="C52" s="17">
        <v>-0.8856684107312256</v>
      </c>
      <c r="D52" s="17">
        <v>0.23958386575046381</v>
      </c>
      <c r="E52" s="17">
        <v>-0.39104441516164734</v>
      </c>
      <c r="F52" s="17">
        <v>-0.40203454890189066</v>
      </c>
      <c r="G52" s="17">
        <v>-0.54970576003592375</v>
      </c>
      <c r="H52" s="17">
        <v>0.47219373892803429</v>
      </c>
      <c r="I52" s="17">
        <v>-9.225883188467468E-2</v>
      </c>
      <c r="J52" s="17">
        <v>0.69625237442793719</v>
      </c>
      <c r="K52" s="10">
        <v>5</v>
      </c>
      <c r="L52" s="18">
        <v>5</v>
      </c>
      <c r="M52" s="22">
        <v>3</v>
      </c>
      <c r="N52" s="22">
        <f>VLOOKUP(A:A,'k-средних'!$A$2:$B$86,2,0)</f>
        <v>1</v>
      </c>
    </row>
    <row r="53" spans="1:14">
      <c r="A53" s="9" t="s">
        <v>71</v>
      </c>
      <c r="B53" s="17">
        <v>-1.0827782188063091</v>
      </c>
      <c r="C53" s="17">
        <v>0.22820300118357481</v>
      </c>
      <c r="D53" s="17">
        <v>0.14477968833738591</v>
      </c>
      <c r="E53" s="17">
        <v>-0.46389111740918282</v>
      </c>
      <c r="F53" s="17">
        <v>-0.15765121166713039</v>
      </c>
      <c r="G53" s="17">
        <v>1.1440576731712089</v>
      </c>
      <c r="H53" s="17">
        <v>0.6973632638025471</v>
      </c>
      <c r="I53" s="17">
        <v>-0.58238387627199262</v>
      </c>
      <c r="J53" s="17">
        <v>-0.11263594316311362</v>
      </c>
      <c r="K53" s="10">
        <v>6</v>
      </c>
      <c r="L53" s="18">
        <v>5</v>
      </c>
      <c r="M53" s="22">
        <v>3</v>
      </c>
      <c r="N53" s="22">
        <f>VLOOKUP(A:A,'k-средних'!$A$2:$B$86,2,0)</f>
        <v>2</v>
      </c>
    </row>
    <row r="54" spans="1:14" ht="26.4">
      <c r="A54" s="9" t="s">
        <v>72</v>
      </c>
      <c r="B54" s="17">
        <v>-0.72228457192941076</v>
      </c>
      <c r="C54" s="17">
        <v>0.13898176168101209</v>
      </c>
      <c r="D54" s="17">
        <v>0.66373380532251425</v>
      </c>
      <c r="E54" s="17">
        <v>8.4375003893539594E-3</v>
      </c>
      <c r="F54" s="17">
        <v>0.53476824383135702</v>
      </c>
      <c r="G54" s="17">
        <v>1.4175153609048157</v>
      </c>
      <c r="H54" s="17">
        <v>-0.20331483569549619</v>
      </c>
      <c r="I54" s="17">
        <v>0.10685446739767261</v>
      </c>
      <c r="J54" s="17">
        <v>0.1393128770701649</v>
      </c>
      <c r="K54" s="10">
        <v>6</v>
      </c>
      <c r="L54" s="18">
        <v>5</v>
      </c>
      <c r="M54" s="22">
        <v>3</v>
      </c>
      <c r="N54" s="22">
        <v>2</v>
      </c>
    </row>
    <row r="55" spans="1:14">
      <c r="A55" s="9" t="s">
        <v>73</v>
      </c>
      <c r="B55" s="17">
        <v>0.30406204623775801</v>
      </c>
      <c r="C55" s="17">
        <v>0.10134155126586882</v>
      </c>
      <c r="D55" s="17">
        <v>0.74668746055895696</v>
      </c>
      <c r="E55" s="17">
        <v>-0.35814590446921191</v>
      </c>
      <c r="F55" s="17">
        <v>0.29038490659659671</v>
      </c>
      <c r="G55" s="17">
        <v>-0.9068749848308385</v>
      </c>
      <c r="H55" s="17">
        <v>-3.443769203961556E-2</v>
      </c>
      <c r="I55" s="17">
        <v>-3.0993201336261302E-2</v>
      </c>
      <c r="J55" s="17">
        <v>-0.81544054697173018</v>
      </c>
      <c r="K55" s="10">
        <v>5</v>
      </c>
      <c r="L55" s="18">
        <v>5</v>
      </c>
      <c r="M55" s="22">
        <v>3</v>
      </c>
      <c r="N55" s="22">
        <f>VLOOKUP(A:A,'k-средних'!$A$2:$B$86,2,0)</f>
        <v>1</v>
      </c>
    </row>
    <row r="56" spans="1:14">
      <c r="A56" s="9" t="s">
        <v>74</v>
      </c>
      <c r="B56" s="17">
        <v>-0.20487016111786313</v>
      </c>
      <c r="C56" s="17">
        <v>-0.45489711375791725</v>
      </c>
      <c r="D56" s="17">
        <v>-0.25665675039611452</v>
      </c>
      <c r="E56" s="17">
        <v>-8.3208350825287505E-2</v>
      </c>
      <c r="F56" s="17">
        <v>4.6001569361836483E-2</v>
      </c>
      <c r="G56" s="17">
        <v>0.83153460147565916</v>
      </c>
      <c r="H56" s="17">
        <v>0.52848612014665852</v>
      </c>
      <c r="I56" s="17">
        <v>-0.39858698462674813</v>
      </c>
      <c r="J56" s="17">
        <v>-0.25850104961395787</v>
      </c>
      <c r="K56" s="10">
        <v>5</v>
      </c>
      <c r="L56" s="18">
        <v>5</v>
      </c>
      <c r="M56" s="22">
        <v>3</v>
      </c>
      <c r="N56" s="22">
        <f>VLOOKUP(A:A,'k-средних'!$A$2:$B$86,2,0)</f>
        <v>3</v>
      </c>
    </row>
    <row r="57" spans="1:14">
      <c r="A57" s="9" t="s">
        <v>75</v>
      </c>
      <c r="B57" s="17">
        <v>0.550045946459642</v>
      </c>
      <c r="C57" s="17">
        <v>-0.42283323081168378</v>
      </c>
      <c r="D57" s="17">
        <v>0.3684582944213658</v>
      </c>
      <c r="E57" s="17">
        <v>9.3033670741330704E-2</v>
      </c>
      <c r="F57" s="17">
        <v>-0.6056873299308575</v>
      </c>
      <c r="G57" s="17">
        <v>-9.2082690767439968E-2</v>
      </c>
      <c r="H57" s="17">
        <v>0.30331659527215366</v>
      </c>
      <c r="I57" s="17">
        <v>0.36723339722843545</v>
      </c>
      <c r="J57" s="17">
        <v>0.28517798352100915</v>
      </c>
      <c r="K57" s="10">
        <v>5</v>
      </c>
      <c r="L57" s="18">
        <v>5</v>
      </c>
      <c r="M57" s="22">
        <v>3</v>
      </c>
      <c r="N57" s="22">
        <f>VLOOKUP(A:A,'k-средних'!$A$2:$B$86,2,0)</f>
        <v>1</v>
      </c>
    </row>
    <row r="58" spans="1:14">
      <c r="A58" s="9" t="s">
        <v>76</v>
      </c>
      <c r="B58" s="17">
        <v>-0.63322143564217737</v>
      </c>
      <c r="C58" s="17">
        <v>-6.8736436535890275E-2</v>
      </c>
      <c r="D58" s="17">
        <v>-0.69611361444631825</v>
      </c>
      <c r="E58" s="17">
        <v>-0.30644824480967059</v>
      </c>
      <c r="F58" s="17">
        <v>-0.68714844234244421</v>
      </c>
      <c r="G58" s="17">
        <v>0.1925365352410075</v>
      </c>
      <c r="H58" s="17">
        <v>0.24702421405352146</v>
      </c>
      <c r="I58" s="17">
        <v>0.41318262013974605</v>
      </c>
      <c r="J58" s="17">
        <v>0.32495937618942294</v>
      </c>
      <c r="K58" s="10">
        <v>5</v>
      </c>
      <c r="L58" s="18">
        <v>5</v>
      </c>
      <c r="M58" s="22">
        <v>3</v>
      </c>
      <c r="N58" s="22">
        <f>VLOOKUP(A:A,'k-средних'!$A$2:$B$86,2,0)</f>
        <v>3</v>
      </c>
    </row>
    <row r="59" spans="1:14">
      <c r="A59" s="9" t="s">
        <v>77</v>
      </c>
      <c r="B59" s="17">
        <v>-0.24304007666953437</v>
      </c>
      <c r="C59" s="17">
        <v>-1.8205069089684434E-3</v>
      </c>
      <c r="D59" s="17">
        <v>-0.70006378850519679</v>
      </c>
      <c r="E59" s="17">
        <v>-0.11845675513861115</v>
      </c>
      <c r="F59" s="17">
        <v>0.33111546280239013</v>
      </c>
      <c r="G59" s="17">
        <v>-0.61667498968497036</v>
      </c>
      <c r="H59" s="17">
        <v>-0.5410691230072574</v>
      </c>
      <c r="I59" s="17">
        <v>0.68887795760761172</v>
      </c>
      <c r="J59" s="17">
        <v>-0.76239869008051309</v>
      </c>
      <c r="K59" s="10">
        <v>5</v>
      </c>
      <c r="L59" s="18">
        <v>5</v>
      </c>
      <c r="M59" s="22">
        <v>3</v>
      </c>
      <c r="N59" s="22">
        <f>VLOOKUP(A:A,'k-средних'!$A$2:$B$86,2,0)</f>
        <v>3</v>
      </c>
    </row>
    <row r="60" spans="1:14">
      <c r="A60" s="9" t="s">
        <v>78</v>
      </c>
      <c r="B60" s="17">
        <v>-0.34058541641269496</v>
      </c>
      <c r="C60" s="17">
        <v>-0.14122869363172191</v>
      </c>
      <c r="D60" s="17">
        <v>1.7910147273748911</v>
      </c>
      <c r="E60" s="17">
        <v>-0.4121934577496415</v>
      </c>
      <c r="F60" s="17">
        <v>-0.64641788613665085</v>
      </c>
      <c r="G60" s="17">
        <v>0.1925365352410075</v>
      </c>
      <c r="H60" s="17">
        <v>0.13443945161627305</v>
      </c>
      <c r="I60" s="17">
        <v>1.4087491165514847</v>
      </c>
      <c r="J60" s="17">
        <v>0.85537794510158671</v>
      </c>
      <c r="K60" s="10">
        <v>5</v>
      </c>
      <c r="L60" s="18">
        <v>5</v>
      </c>
      <c r="M60" s="22">
        <v>3</v>
      </c>
      <c r="N60" s="22">
        <f>VLOOKUP(A:A,'k-средних'!$A$2:$B$86,2,0)</f>
        <v>1</v>
      </c>
    </row>
    <row r="61" spans="1:14">
      <c r="A61" s="9" t="s">
        <v>79</v>
      </c>
      <c r="B61" s="17">
        <v>-0.55688160453883429</v>
      </c>
      <c r="C61" s="17">
        <v>0.15431666222051529</v>
      </c>
      <c r="D61" s="17">
        <v>0.69286633900674111</v>
      </c>
      <c r="E61" s="17">
        <v>-0.42864271309585922</v>
      </c>
      <c r="F61" s="17">
        <v>-0.93153177957720446</v>
      </c>
      <c r="G61" s="17">
        <v>-1.0017480601669875</v>
      </c>
      <c r="H61" s="17">
        <v>0.35960897649077789</v>
      </c>
      <c r="I61" s="17">
        <v>0.3519169895913305</v>
      </c>
      <c r="J61" s="17">
        <v>0.11279194862455634</v>
      </c>
      <c r="K61" s="10">
        <v>5</v>
      </c>
      <c r="L61" s="18">
        <v>5</v>
      </c>
      <c r="M61" s="22">
        <v>3</v>
      </c>
      <c r="N61" s="22">
        <v>1</v>
      </c>
    </row>
    <row r="62" spans="1:14" ht="39.6">
      <c r="A62" s="12" t="s">
        <v>80</v>
      </c>
      <c r="B62" s="17">
        <v>0.6051802689231669</v>
      </c>
      <c r="C62" s="17">
        <v>-0.67795021251432286</v>
      </c>
      <c r="D62" s="17">
        <v>7.0173680340075723E-3</v>
      </c>
      <c r="E62" s="17">
        <v>-0.71062994760244835</v>
      </c>
      <c r="F62" s="17">
        <v>-1.1351845606061715</v>
      </c>
      <c r="G62" s="17">
        <v>-0.8901326774185766</v>
      </c>
      <c r="H62" s="17">
        <v>-0.5410691230072574</v>
      </c>
      <c r="I62" s="17">
        <v>-0.30668853880412694</v>
      </c>
      <c r="J62" s="17">
        <v>0.27191751929820585</v>
      </c>
      <c r="K62" s="10">
        <v>5</v>
      </c>
      <c r="L62" s="18">
        <v>5</v>
      </c>
      <c r="M62" s="22">
        <v>3</v>
      </c>
      <c r="N62" s="22">
        <f>VLOOKUP(A:A,'k-средних'!$A$2:$B$86,2,0)</f>
        <v>1</v>
      </c>
    </row>
    <row r="63" spans="1:14" ht="26.4">
      <c r="A63" s="12" t="s">
        <v>81</v>
      </c>
      <c r="B63" s="17">
        <v>-1.4020583359505212E-2</v>
      </c>
      <c r="C63" s="17">
        <v>-0.33500607317634973</v>
      </c>
      <c r="D63" s="17">
        <v>3.0318631536200167</v>
      </c>
      <c r="E63" s="17">
        <v>-0.73013406465582076</v>
      </c>
      <c r="F63" s="17">
        <v>-0.72787899854823768</v>
      </c>
      <c r="G63" s="17">
        <v>-1.1524288268773419</v>
      </c>
      <c r="H63" s="17">
        <v>-1.3854548412866685</v>
      </c>
      <c r="I63" s="17">
        <v>-0.38327057698964534</v>
      </c>
      <c r="J63" s="17">
        <v>1.0410244442208429</v>
      </c>
      <c r="K63" s="10">
        <v>6</v>
      </c>
      <c r="L63" s="18">
        <v>6</v>
      </c>
      <c r="M63" s="22">
        <v>2</v>
      </c>
      <c r="N63" s="22">
        <f>VLOOKUP(A:A,'k-средних'!$A$2:$B$86,2,0)</f>
        <v>1</v>
      </c>
    </row>
    <row r="64" spans="1:14" ht="39.6">
      <c r="A64" s="12" t="s">
        <v>82</v>
      </c>
      <c r="B64" s="17">
        <v>0.60942137065113144</v>
      </c>
      <c r="C64" s="17">
        <v>-0.18444523151577583</v>
      </c>
      <c r="D64" s="17">
        <v>-0.44182115940603184</v>
      </c>
      <c r="E64" s="17">
        <v>-0.52028856431050063</v>
      </c>
      <c r="F64" s="17">
        <v>2.6934877227384058</v>
      </c>
      <c r="G64" s="17">
        <v>2.08441727282657</v>
      </c>
      <c r="H64" s="17">
        <v>-1.7232091285984377</v>
      </c>
      <c r="I64" s="17">
        <v>-0.32200494644122979</v>
      </c>
      <c r="J64" s="17">
        <v>-0.29828244228236978</v>
      </c>
      <c r="K64" s="10">
        <v>6</v>
      </c>
      <c r="L64" s="18">
        <v>6</v>
      </c>
      <c r="M64" s="22">
        <v>1</v>
      </c>
      <c r="N64" s="22">
        <f>VLOOKUP(A:A,'k-средних'!$A$2:$B$86,2,0)</f>
        <v>2</v>
      </c>
    </row>
    <row r="65" spans="1:14">
      <c r="A65" s="9" t="s">
        <v>83</v>
      </c>
      <c r="B65" s="17">
        <v>0.44401840326055431</v>
      </c>
      <c r="C65" s="17">
        <v>0.59902877786609854</v>
      </c>
      <c r="D65" s="17">
        <v>0.61583794485861543</v>
      </c>
      <c r="E65" s="17">
        <v>-0.1490053722101583</v>
      </c>
      <c r="F65" s="17">
        <v>-3.5459543049750269E-2</v>
      </c>
      <c r="G65" s="17">
        <v>9.766345990485821E-2</v>
      </c>
      <c r="H65" s="17">
        <v>-0.48477674178863323</v>
      </c>
      <c r="I65" s="17">
        <v>0.36723339722843545</v>
      </c>
      <c r="J65" s="17">
        <v>0.52386633953148432</v>
      </c>
      <c r="K65" s="10">
        <v>6</v>
      </c>
      <c r="L65" s="18">
        <v>5</v>
      </c>
      <c r="M65" s="22">
        <v>3</v>
      </c>
      <c r="N65" s="22">
        <f>VLOOKUP(A:A,'k-средних'!$A$2:$B$86,2,0)</f>
        <v>1</v>
      </c>
    </row>
    <row r="66" spans="1:14">
      <c r="A66" s="9" t="s">
        <v>84</v>
      </c>
      <c r="B66" s="17">
        <v>0.26165102895812292</v>
      </c>
      <c r="C66" s="17">
        <v>0.33554730496009483</v>
      </c>
      <c r="D66" s="17">
        <v>0.46326247183444369</v>
      </c>
      <c r="E66" s="17">
        <v>-0.62133399000869516</v>
      </c>
      <c r="F66" s="17">
        <v>-0.72787899854823768</v>
      </c>
      <c r="G66" s="17">
        <v>1.8611865073297484</v>
      </c>
      <c r="H66" s="17">
        <v>-0.25960721691412036</v>
      </c>
      <c r="I66" s="17">
        <v>3.0272429212154256E-2</v>
      </c>
      <c r="J66" s="17">
        <v>-1.2530358663242649</v>
      </c>
      <c r="K66" s="10">
        <v>6</v>
      </c>
      <c r="L66" s="18">
        <v>5</v>
      </c>
      <c r="M66" s="22">
        <v>2</v>
      </c>
      <c r="N66" s="22">
        <f>VLOOKUP(A:A,'k-средних'!$A$2:$B$86,2,0)</f>
        <v>2</v>
      </c>
    </row>
    <row r="67" spans="1:14">
      <c r="A67" s="9" t="s">
        <v>85</v>
      </c>
      <c r="B67" s="17">
        <v>-1.3287621190281931</v>
      </c>
      <c r="C67" s="17">
        <v>2.3617386927143194E-3</v>
      </c>
      <c r="D67" s="17">
        <v>-0.91880467701557889</v>
      </c>
      <c r="E67" s="17">
        <v>-0.68948090501445414</v>
      </c>
      <c r="F67" s="17">
        <v>-0.52422621751927079</v>
      </c>
      <c r="G67" s="17">
        <v>1.4286768991796568</v>
      </c>
      <c r="H67" s="17">
        <v>-0.14702245447686396</v>
      </c>
      <c r="I67" s="17">
        <v>-0.41390339226385309</v>
      </c>
      <c r="J67" s="17">
        <v>-0.25850104961395787</v>
      </c>
      <c r="K67" s="10">
        <v>6</v>
      </c>
      <c r="L67" s="18">
        <v>5</v>
      </c>
      <c r="M67" s="22">
        <v>3</v>
      </c>
      <c r="N67" s="22">
        <f>VLOOKUP(A:A,'k-средних'!$A$2:$B$86,2,0)</f>
        <v>2</v>
      </c>
    </row>
    <row r="68" spans="1:14">
      <c r="A68" s="9" t="s">
        <v>86</v>
      </c>
      <c r="B68" s="17">
        <v>1.4618828179717966</v>
      </c>
      <c r="C68" s="17">
        <v>0.68406777176697853</v>
      </c>
      <c r="D68" s="17">
        <v>0.2440278115667017</v>
      </c>
      <c r="E68" s="17">
        <v>-0.51558877706872419</v>
      </c>
      <c r="F68" s="17">
        <v>-1.4202984540467249</v>
      </c>
      <c r="G68" s="17">
        <v>-0.15905192041648619</v>
      </c>
      <c r="H68" s="17">
        <v>-0.14702245447686396</v>
      </c>
      <c r="I68" s="17">
        <v>-0.35263776171543754</v>
      </c>
      <c r="J68" s="17">
        <v>-0.41762662028760739</v>
      </c>
      <c r="K68" s="10">
        <v>5</v>
      </c>
      <c r="L68" s="18">
        <v>5</v>
      </c>
      <c r="M68" s="22">
        <v>2</v>
      </c>
      <c r="N68" s="22">
        <f>VLOOKUP(A:A,'k-средних'!$A$2:$B$86,2,0)</f>
        <v>1</v>
      </c>
    </row>
    <row r="69" spans="1:14">
      <c r="A69" s="9" t="s">
        <v>87</v>
      </c>
      <c r="B69" s="17">
        <v>-0.8961697427759151</v>
      </c>
      <c r="C69" s="17">
        <v>0.56557081305263801</v>
      </c>
      <c r="D69" s="17">
        <v>1.1970073032710755</v>
      </c>
      <c r="E69" s="17">
        <v>-0.28529920222167637</v>
      </c>
      <c r="F69" s="17">
        <v>-0.68714844234244421</v>
      </c>
      <c r="G69" s="17">
        <v>0.11719615188583017</v>
      </c>
      <c r="H69" s="17">
        <v>-0.37219197935137682</v>
      </c>
      <c r="I69" s="17">
        <v>0.55103028887368</v>
      </c>
      <c r="J69" s="17">
        <v>-4.6333622049093151E-2</v>
      </c>
      <c r="K69" s="10">
        <v>6</v>
      </c>
      <c r="L69" s="18">
        <v>5</v>
      </c>
      <c r="M69" s="22">
        <v>3</v>
      </c>
      <c r="N69" s="22">
        <f>VLOOKUP(A:A,'k-средних'!$A$2:$B$86,2,0)</f>
        <v>2</v>
      </c>
    </row>
    <row r="70" spans="1:14">
      <c r="A70" s="9" t="s">
        <v>88</v>
      </c>
      <c r="B70" s="17">
        <v>0.21499890995052454</v>
      </c>
      <c r="C70" s="17">
        <v>0.30905974948277198</v>
      </c>
      <c r="D70" s="17">
        <v>0.19316932055864408</v>
      </c>
      <c r="E70" s="17">
        <v>-0.71062994760244835</v>
      </c>
      <c r="F70" s="17">
        <v>0.12746268177342324</v>
      </c>
      <c r="G70" s="17">
        <v>0.29019999514586692</v>
      </c>
      <c r="H70" s="17">
        <v>-9.0730073258239771E-2</v>
      </c>
      <c r="I70" s="17">
        <v>7.6221652123464836E-2</v>
      </c>
      <c r="J70" s="17">
        <v>0.21887566240698872</v>
      </c>
      <c r="K70" s="10">
        <v>6</v>
      </c>
      <c r="L70" s="18">
        <v>5</v>
      </c>
      <c r="M70" s="22">
        <v>3</v>
      </c>
      <c r="N70" s="22">
        <f>VLOOKUP(A:A,'k-средних'!$A$2:$B$86,2,0)</f>
        <v>1</v>
      </c>
    </row>
    <row r="71" spans="1:14">
      <c r="A71" s="9" t="s">
        <v>89</v>
      </c>
      <c r="B71" s="17">
        <v>-0.5780871131786518</v>
      </c>
      <c r="C71" s="17">
        <v>8.3218486991910701E-2</v>
      </c>
      <c r="D71" s="17">
        <v>0.66867152289611198</v>
      </c>
      <c r="E71" s="17">
        <v>-0.66128218156379526</v>
      </c>
      <c r="F71" s="17">
        <v>0.33111546280239013</v>
      </c>
      <c r="G71" s="17">
        <v>-6.4178845080337291E-2</v>
      </c>
      <c r="H71" s="17">
        <v>-0.428484360570001</v>
      </c>
      <c r="I71" s="17">
        <v>0.58166310414788558</v>
      </c>
      <c r="J71" s="17">
        <v>8.6271020178947777E-2</v>
      </c>
      <c r="K71" s="10">
        <v>6</v>
      </c>
      <c r="L71" s="18">
        <v>5</v>
      </c>
      <c r="M71" s="22">
        <v>3</v>
      </c>
      <c r="N71" s="22">
        <f>VLOOKUP(A:A,'k-средних'!$A$2:$B$86,2,0)</f>
        <v>2</v>
      </c>
    </row>
    <row r="72" spans="1:14">
      <c r="A72" s="9" t="s">
        <v>90</v>
      </c>
      <c r="B72" s="17">
        <v>-0.6671502494658853</v>
      </c>
      <c r="C72" s="17">
        <v>-4.364296292579449E-2</v>
      </c>
      <c r="D72" s="17">
        <v>-0.33961040563255784</v>
      </c>
      <c r="E72" s="17">
        <v>-0.30174845756789409</v>
      </c>
      <c r="F72" s="17">
        <v>-0.11692065546133702</v>
      </c>
      <c r="G72" s="17">
        <v>-0.29578076428328948</v>
      </c>
      <c r="H72" s="17">
        <v>-0.59736150422588963</v>
      </c>
      <c r="I72" s="17">
        <v>6.0905244486362038E-2</v>
      </c>
      <c r="J72" s="17">
        <v>8.6271020178947777E-2</v>
      </c>
      <c r="K72" s="10">
        <v>5</v>
      </c>
      <c r="L72" s="18">
        <v>5</v>
      </c>
      <c r="M72" s="22">
        <v>3</v>
      </c>
      <c r="N72" s="22">
        <f>VLOOKUP(A:A,'k-средних'!$A$2:$B$86,2,0)</f>
        <v>2</v>
      </c>
    </row>
    <row r="73" spans="1:14" ht="26.4">
      <c r="A73" s="9" t="s">
        <v>91</v>
      </c>
      <c r="B73" s="17">
        <v>-0.56960490972272471</v>
      </c>
      <c r="C73" s="17">
        <v>-0.265301979814973</v>
      </c>
      <c r="D73" s="17">
        <v>7.5111397913674646E-3</v>
      </c>
      <c r="E73" s="17">
        <v>-0.47094079827184759</v>
      </c>
      <c r="F73" s="17">
        <v>-0.52422621751927079</v>
      </c>
      <c r="G73" s="17">
        <v>-0.11719615188583216</v>
      </c>
      <c r="H73" s="17">
        <v>0.13443945161627305</v>
      </c>
      <c r="I73" s="17">
        <v>-6.1626016610466905E-2</v>
      </c>
      <c r="J73" s="17">
        <v>0.47082448264026722</v>
      </c>
      <c r="K73" s="10">
        <v>5</v>
      </c>
      <c r="L73" s="18">
        <v>5</v>
      </c>
      <c r="M73" s="22">
        <v>3</v>
      </c>
      <c r="N73" s="22">
        <v>3</v>
      </c>
    </row>
    <row r="74" spans="1:14">
      <c r="A74" s="9" t="s">
        <v>92</v>
      </c>
      <c r="B74" s="17">
        <v>-0.10308371964673867</v>
      </c>
      <c r="C74" s="17">
        <v>-0.38798118413099542</v>
      </c>
      <c r="D74" s="17">
        <v>-0.23344947780020525</v>
      </c>
      <c r="E74" s="17">
        <v>-0.50148941534339475</v>
      </c>
      <c r="F74" s="17">
        <v>1.0642654745066709</v>
      </c>
      <c r="G74" s="17">
        <v>1.1607999805834703</v>
      </c>
      <c r="H74" s="17">
        <v>-0.20331483569549619</v>
      </c>
      <c r="I74" s="17">
        <v>2.0367218296727345</v>
      </c>
      <c r="J74" s="17">
        <v>-5.9594086271896489E-2</v>
      </c>
      <c r="K74" s="10">
        <v>5</v>
      </c>
      <c r="L74" s="18">
        <v>5</v>
      </c>
      <c r="M74" s="22">
        <v>3</v>
      </c>
      <c r="N74" s="22">
        <f>VLOOKUP(A:A,'k-средних'!$A$2:$B$86,2,0)</f>
        <v>3</v>
      </c>
    </row>
    <row r="75" spans="1:14">
      <c r="A75" s="9" t="s">
        <v>93</v>
      </c>
      <c r="B75" s="17">
        <v>-1.2524222879248494</v>
      </c>
      <c r="C75" s="17">
        <v>-0.64867449330254512</v>
      </c>
      <c r="D75" s="17">
        <v>-0.14506433323280485</v>
      </c>
      <c r="E75" s="17">
        <v>-0.67773143691001292</v>
      </c>
      <c r="F75" s="17">
        <v>-0.15765121166713039</v>
      </c>
      <c r="G75" s="17">
        <v>-1.5933095887335644</v>
      </c>
      <c r="H75" s="17">
        <v>-0.14702245447686396</v>
      </c>
      <c r="I75" s="17">
        <v>1.4956021575051454E-2</v>
      </c>
      <c r="J75" s="17">
        <v>-3.9183891751078868</v>
      </c>
      <c r="K75" s="10">
        <v>6</v>
      </c>
      <c r="L75" s="18">
        <v>3</v>
      </c>
      <c r="M75" s="22">
        <v>2</v>
      </c>
      <c r="N75" s="22">
        <f>VLOOKUP(A:A,'k-средних'!$A$2:$B$86,2,0)</f>
        <v>2</v>
      </c>
    </row>
    <row r="76" spans="1:14">
      <c r="A76" s="9" t="s">
        <v>94</v>
      </c>
      <c r="B76" s="17">
        <v>2.8390433920129882E-2</v>
      </c>
      <c r="C76" s="17">
        <v>-0.31827709076961869</v>
      </c>
      <c r="D76" s="17">
        <v>-0.697101157961038</v>
      </c>
      <c r="E76" s="17">
        <v>-0.6753815432891247</v>
      </c>
      <c r="F76" s="17">
        <v>0.98280436209508415</v>
      </c>
      <c r="G76" s="17">
        <v>0.1925365352410075</v>
      </c>
      <c r="H76" s="17">
        <v>0.92253278867705191</v>
      </c>
      <c r="I76" s="17">
        <v>2.2205187213179789</v>
      </c>
      <c r="J76" s="17">
        <v>0.66973144598232859</v>
      </c>
      <c r="K76" s="10">
        <v>5</v>
      </c>
      <c r="L76" s="18">
        <v>5</v>
      </c>
      <c r="M76" s="22">
        <v>3</v>
      </c>
      <c r="N76" s="22">
        <f>VLOOKUP(A:A,'k-средних'!$A$2:$B$86,2,0)</f>
        <v>3</v>
      </c>
    </row>
    <row r="77" spans="1:14" ht="26.4">
      <c r="A77" s="9" t="s">
        <v>95</v>
      </c>
      <c r="B77" s="17">
        <v>-0.34906761986862211</v>
      </c>
      <c r="C77" s="17">
        <v>-4.2248881058567431E-2</v>
      </c>
      <c r="D77" s="17">
        <v>1.348595232780528</v>
      </c>
      <c r="E77" s="17">
        <v>-0.72919410720746536</v>
      </c>
      <c r="F77" s="17">
        <v>-1.2573762292235515</v>
      </c>
      <c r="G77" s="17">
        <v>-0.74503267984564259</v>
      </c>
      <c r="H77" s="17">
        <v>-1.1039929351935316</v>
      </c>
      <c r="I77" s="17">
        <v>-0.58238387627199262</v>
      </c>
      <c r="J77" s="17">
        <v>0.15257334129296823</v>
      </c>
      <c r="K77" s="10">
        <v>6</v>
      </c>
      <c r="L77" s="18">
        <v>5</v>
      </c>
      <c r="M77" s="22">
        <v>2</v>
      </c>
      <c r="N77" s="22">
        <f>VLOOKUP(A:A,'k-средних'!$A$2:$B$86,2,0)</f>
        <v>1</v>
      </c>
    </row>
    <row r="78" spans="1:14">
      <c r="A78" s="9" t="s">
        <v>96</v>
      </c>
      <c r="B78" s="17">
        <v>-0.80286550476071772</v>
      </c>
      <c r="C78" s="17">
        <v>0.19892728197179627</v>
      </c>
      <c r="D78" s="17">
        <v>-0.42058897383956156</v>
      </c>
      <c r="E78" s="17">
        <v>-0.6565823943220187</v>
      </c>
      <c r="F78" s="17">
        <v>-0.68714844234244421</v>
      </c>
      <c r="G78" s="17">
        <v>-3.3484614824524098E-2</v>
      </c>
      <c r="H78" s="17">
        <v>-0.99140817275627502</v>
      </c>
      <c r="I78" s="17">
        <v>-0.49048543044937148</v>
      </c>
      <c r="J78" s="17">
        <v>0.51060587530867918</v>
      </c>
      <c r="K78" s="10">
        <v>5</v>
      </c>
      <c r="L78" s="18">
        <v>5</v>
      </c>
      <c r="M78" s="22">
        <v>3</v>
      </c>
      <c r="N78" s="22">
        <f>VLOOKUP(A:A,'k-средних'!$A$2:$B$86,2,0)</f>
        <v>2</v>
      </c>
    </row>
    <row r="79" spans="1:14">
      <c r="A79" s="9" t="s">
        <v>97</v>
      </c>
      <c r="B79" s="17">
        <v>-1.4517540691391346</v>
      </c>
      <c r="C79" s="17">
        <v>0.71473757284598416</v>
      </c>
      <c r="D79" s="17">
        <v>4.1581391049192132E-2</v>
      </c>
      <c r="E79" s="17">
        <v>-0.72848913912119906</v>
      </c>
      <c r="F79" s="17">
        <v>2.6527571665326124</v>
      </c>
      <c r="G79" s="17">
        <v>1.1384769040337888</v>
      </c>
      <c r="H79" s="17">
        <v>0.41590135770941011</v>
      </c>
      <c r="I79" s="17">
        <v>-0.90402843665116883</v>
      </c>
      <c r="J79" s="17">
        <v>-0.90826379653135925</v>
      </c>
      <c r="K79" s="10">
        <v>6</v>
      </c>
      <c r="L79" s="18">
        <v>6</v>
      </c>
      <c r="M79" s="22">
        <v>1</v>
      </c>
      <c r="N79" s="22">
        <f>VLOOKUP(A:A,'k-средних'!$A$2:$B$86,2,0)</f>
        <v>2</v>
      </c>
    </row>
    <row r="80" spans="1:14">
      <c r="A80" s="9" t="s">
        <v>98</v>
      </c>
      <c r="B80" s="17">
        <v>-0.74349008056922838</v>
      </c>
      <c r="C80" s="17">
        <v>-0.44792670442177956</v>
      </c>
      <c r="D80" s="17">
        <v>6.6269978917181102E-2</v>
      </c>
      <c r="E80" s="17">
        <v>-0.51793867068961241</v>
      </c>
      <c r="F80" s="17">
        <v>-0.48349566131347738</v>
      </c>
      <c r="G80" s="17">
        <v>0.91803652310567729</v>
      </c>
      <c r="H80" s="17">
        <v>-0.59736150422588963</v>
      </c>
      <c r="I80" s="17">
        <v>-0.50580183808647428</v>
      </c>
      <c r="J80" s="17">
        <v>0.98798258732962763</v>
      </c>
      <c r="K80" s="10">
        <v>6</v>
      </c>
      <c r="L80" s="18">
        <v>5</v>
      </c>
      <c r="M80" s="22">
        <v>3</v>
      </c>
      <c r="N80" s="22">
        <f>VLOOKUP(A:A,'k-средних'!$A$2:$B$86,2,0)</f>
        <v>2</v>
      </c>
    </row>
    <row r="81" spans="1:14">
      <c r="A81" s="9" t="s">
        <v>99</v>
      </c>
      <c r="B81" s="17">
        <v>-0.38299643369233005</v>
      </c>
      <c r="C81" s="17">
        <v>0.53490101197363249</v>
      </c>
      <c r="D81" s="17">
        <v>-0.80968111863906755</v>
      </c>
      <c r="E81" s="17">
        <v>-0.70828005398156013</v>
      </c>
      <c r="F81" s="17">
        <v>-0.8908012233714111</v>
      </c>
      <c r="G81" s="17">
        <v>3.9065383961942729E-2</v>
      </c>
      <c r="H81" s="17">
        <v>-0.99140817275627502</v>
      </c>
      <c r="I81" s="17">
        <v>-0.10757523952177966</v>
      </c>
      <c r="J81" s="17">
        <v>0.11279194862455634</v>
      </c>
      <c r="K81" s="10">
        <v>5</v>
      </c>
      <c r="L81" s="18">
        <v>5</v>
      </c>
      <c r="M81" s="22">
        <v>3</v>
      </c>
      <c r="N81" s="22">
        <v>2</v>
      </c>
    </row>
    <row r="82" spans="1:14">
      <c r="A82" s="9" t="s">
        <v>100</v>
      </c>
      <c r="B82" s="17">
        <v>-0.6671502494658853</v>
      </c>
      <c r="C82" s="17">
        <v>0.182198299565066</v>
      </c>
      <c r="D82" s="17">
        <v>0.20847624503679738</v>
      </c>
      <c r="E82" s="17">
        <v>-0.65188260708024226</v>
      </c>
      <c r="F82" s="17">
        <v>-0.36130399269609725</v>
      </c>
      <c r="G82" s="17">
        <v>1.4258865146109458</v>
      </c>
      <c r="H82" s="17">
        <v>-1.1602853164121636</v>
      </c>
      <c r="I82" s="17">
        <v>-0.2301065006186086</v>
      </c>
      <c r="J82" s="17">
        <v>0.56364773219989628</v>
      </c>
      <c r="K82" s="10">
        <v>6</v>
      </c>
      <c r="L82" s="18">
        <v>5</v>
      </c>
      <c r="M82" s="22">
        <v>3</v>
      </c>
      <c r="N82" s="22">
        <f>VLOOKUP(A:A,'k-средних'!$A$2:$B$86,2,0)</f>
        <v>2</v>
      </c>
    </row>
    <row r="83" spans="1:14">
      <c r="A83" s="9" t="s">
        <v>101</v>
      </c>
      <c r="B83" s="17">
        <v>-0.76045448748108257</v>
      </c>
      <c r="C83" s="17">
        <v>1.4340838163353924</v>
      </c>
      <c r="D83" s="17">
        <v>-0.45811562739890488</v>
      </c>
      <c r="E83" s="17">
        <v>-0.72613924550031084</v>
      </c>
      <c r="F83" s="17">
        <v>4.6001569361836483E-2</v>
      </c>
      <c r="G83" s="17">
        <v>0.7338711415707998</v>
      </c>
      <c r="H83" s="17">
        <v>-3.1305186590641227</v>
      </c>
      <c r="I83" s="17">
        <v>-0.7355479526430293</v>
      </c>
      <c r="J83" s="17">
        <v>2.5261964371749017</v>
      </c>
      <c r="K83" s="10">
        <v>4</v>
      </c>
      <c r="L83" s="18">
        <v>6</v>
      </c>
      <c r="M83" s="22">
        <v>2</v>
      </c>
      <c r="N83" s="22">
        <f>VLOOKUP(A:A,'k-средних'!$A$2:$B$86,2,0)</f>
        <v>2</v>
      </c>
    </row>
    <row r="84" spans="1:14">
      <c r="A84" s="9" t="s">
        <v>102</v>
      </c>
      <c r="B84" s="17">
        <v>-1.7740778004643616</v>
      </c>
      <c r="C84" s="17">
        <v>-0.10916481068548846</v>
      </c>
      <c r="D84" s="17">
        <v>2.1830520754800957E-2</v>
      </c>
      <c r="E84" s="17">
        <v>-0.66128218156379526</v>
      </c>
      <c r="F84" s="17">
        <v>2.2861821606804722</v>
      </c>
      <c r="G84" s="17">
        <v>-0.42971922358138231</v>
      </c>
      <c r="H84" s="17">
        <v>-0.59736150422588963</v>
      </c>
      <c r="I84" s="17">
        <v>-1.149090958844829</v>
      </c>
      <c r="J84" s="17">
        <v>-0.53697079829284311</v>
      </c>
      <c r="K84" s="10">
        <v>6</v>
      </c>
      <c r="L84" s="18">
        <v>6</v>
      </c>
      <c r="M84" s="22">
        <v>1</v>
      </c>
      <c r="N84" s="22">
        <f>VLOOKUP(A:A,'k-средних'!$A$2:$B$86,2,0)</f>
        <v>2</v>
      </c>
    </row>
    <row r="85" spans="1:14" ht="26.4">
      <c r="A85" s="9" t="s">
        <v>103</v>
      </c>
      <c r="B85" s="17">
        <v>-0.78590109784886342</v>
      </c>
      <c r="C85" s="17">
        <v>9.1582978195276235E-2</v>
      </c>
      <c r="D85" s="17">
        <v>-0.72969009394678364</v>
      </c>
      <c r="E85" s="17">
        <v>-0.57198622397004206</v>
      </c>
      <c r="F85" s="17">
        <v>-0.48349566131347738</v>
      </c>
      <c r="G85" s="17">
        <v>1.2891576707441434</v>
      </c>
      <c r="H85" s="17">
        <v>-1.7232091285984377</v>
      </c>
      <c r="I85" s="17">
        <v>1.8376085303903871</v>
      </c>
      <c r="J85" s="17">
        <v>-1.1999940094330477</v>
      </c>
      <c r="K85" s="10">
        <v>6</v>
      </c>
      <c r="L85" s="18">
        <v>5</v>
      </c>
      <c r="M85" s="22">
        <v>2</v>
      </c>
      <c r="N85" s="22">
        <f>VLOOKUP(A:A,'k-средних'!$A$2:$B$86,2,0)</f>
        <v>2</v>
      </c>
    </row>
    <row r="86" spans="1:14" ht="26.4">
      <c r="A86" s="9" t="s">
        <v>104</v>
      </c>
      <c r="B86" s="17">
        <v>-2.2405989905403478</v>
      </c>
      <c r="C86" s="17">
        <v>2.3806654041828881</v>
      </c>
      <c r="D86" s="17">
        <v>1.4404367796494477</v>
      </c>
      <c r="E86" s="17">
        <v>-0.73577380934595249</v>
      </c>
      <c r="F86" s="17">
        <v>-0.44276510510768402</v>
      </c>
      <c r="G86" s="17">
        <v>-1.9923345820591327</v>
      </c>
      <c r="H86" s="17">
        <v>-3.186811040282747</v>
      </c>
      <c r="I86" s="17">
        <v>-0.84276280610275545</v>
      </c>
      <c r="J86" s="17">
        <v>6.708234842123976E-3</v>
      </c>
      <c r="K86" s="10">
        <v>4</v>
      </c>
      <c r="L86" s="18">
        <v>6</v>
      </c>
      <c r="M86" s="22">
        <v>2</v>
      </c>
      <c r="N86" s="22">
        <f>VLOOKUP(A:A,'k-средних'!$A$2:$B$86,2,0)</f>
        <v>2</v>
      </c>
    </row>
    <row r="87" spans="1:14">
      <c r="B87" s="19"/>
      <c r="C87" s="19"/>
      <c r="D87" s="19"/>
      <c r="E87" s="19"/>
      <c r="F87" s="19"/>
      <c r="G87" s="19"/>
      <c r="H87" s="19"/>
      <c r="I87" s="19"/>
      <c r="J87" s="19"/>
    </row>
    <row r="88" spans="1:14">
      <c r="C88" s="16"/>
    </row>
  </sheetData>
  <autoFilter ref="A1:N1" xr:uid="{479DE99B-3D6F-4590-A0E0-7E6A74146D8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5505-EBAC-423D-8F09-6B4D11E963C6}">
  <dimension ref="A1:AS112"/>
  <sheetViews>
    <sheetView workbookViewId="0"/>
  </sheetViews>
  <sheetFormatPr defaultRowHeight="14.4"/>
  <sheetData>
    <row r="1" spans="1:15">
      <c r="A1" s="7" t="s">
        <v>105</v>
      </c>
      <c r="B1" s="7" t="s">
        <v>106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O1" s="23"/>
    </row>
    <row r="2" spans="1:15" ht="66">
      <c r="A2" s="9" t="s">
        <v>61</v>
      </c>
      <c r="B2" s="23">
        <v>1</v>
      </c>
      <c r="C2" s="23">
        <v>-0.71804347000000002</v>
      </c>
      <c r="D2" s="23">
        <v>-0.29736586300000001</v>
      </c>
      <c r="E2" s="23">
        <v>-0.91682958999999997</v>
      </c>
      <c r="F2" s="23">
        <v>0.93664548100000011</v>
      </c>
      <c r="G2" s="23">
        <v>4.32270997</v>
      </c>
      <c r="H2" s="23">
        <v>0.97105383000000001</v>
      </c>
      <c r="I2" s="23">
        <v>1.2602870799999999</v>
      </c>
      <c r="J2" s="23">
        <v>3.1854524</v>
      </c>
      <c r="K2" s="23">
        <v>-1.2530358699999999</v>
      </c>
      <c r="O2" s="23"/>
    </row>
    <row r="3" spans="1:15">
      <c r="A3" s="24" t="s">
        <v>114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5">
      <c r="A4" s="11"/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5">
      <c r="A5" s="11"/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5">
      <c r="A6" s="25" t="s">
        <v>116</v>
      </c>
      <c r="B6" s="23">
        <v>0</v>
      </c>
      <c r="C6" s="23"/>
      <c r="D6" s="23"/>
      <c r="E6" s="23"/>
      <c r="F6" s="23"/>
      <c r="G6" s="23"/>
      <c r="H6" s="23"/>
      <c r="I6" s="23"/>
      <c r="J6" s="23"/>
      <c r="K6" s="23"/>
    </row>
    <row r="7" spans="1:15">
      <c r="A7" s="9" t="s">
        <v>37</v>
      </c>
      <c r="B7" s="23">
        <v>2</v>
      </c>
      <c r="C7" s="23">
        <v>2.0853247700000002</v>
      </c>
      <c r="D7" s="23">
        <v>3.1014057300000002</v>
      </c>
      <c r="E7" s="23">
        <v>-0.81560637999999996</v>
      </c>
      <c r="F7" s="23">
        <v>5.2745490999999998</v>
      </c>
      <c r="G7" s="23">
        <v>-1.0537234499999999</v>
      </c>
      <c r="H7" s="23">
        <v>-0.91803652300000005</v>
      </c>
      <c r="I7" s="23">
        <v>0.30331659500000002</v>
      </c>
      <c r="J7" s="23">
        <v>-0.44453620800000004</v>
      </c>
      <c r="K7" s="23">
        <v>-0.56349172700000005</v>
      </c>
    </row>
    <row r="8" spans="1:15" ht="39.6">
      <c r="A8" s="9" t="s">
        <v>48</v>
      </c>
      <c r="B8" s="23">
        <v>2</v>
      </c>
      <c r="C8" s="23">
        <v>-0.42964855300000004</v>
      </c>
      <c r="D8" s="23">
        <v>1.1873313299999999</v>
      </c>
      <c r="E8" s="23">
        <v>0.86766154100000004</v>
      </c>
      <c r="F8" s="23">
        <v>5.2651495300000004</v>
      </c>
      <c r="G8" s="23">
        <v>0.331115463</v>
      </c>
      <c r="H8" s="23">
        <v>-0.82037306300000001</v>
      </c>
      <c r="I8" s="23">
        <v>0.19073183300000002</v>
      </c>
      <c r="J8" s="23">
        <v>-0.79681358300000005</v>
      </c>
      <c r="K8" s="23">
        <v>0.92168026600000008</v>
      </c>
    </row>
    <row r="9" spans="1:15">
      <c r="A9" s="24" t="s">
        <v>114</v>
      </c>
      <c r="B9" s="24"/>
      <c r="C9" s="26">
        <f>AVERAGE(C7:C8)</f>
        <v>0.82783810850000006</v>
      </c>
      <c r="D9" s="26">
        <f t="shared" ref="D9:K9" si="0">AVERAGE(D7:D8)</f>
        <v>2.1443685299999999</v>
      </c>
      <c r="E9" s="26">
        <f t="shared" si="0"/>
        <v>2.6027580500000036E-2</v>
      </c>
      <c r="F9" s="26">
        <f t="shared" si="0"/>
        <v>5.2698493150000001</v>
      </c>
      <c r="G9" s="26">
        <f t="shared" si="0"/>
        <v>-0.36130399349999998</v>
      </c>
      <c r="H9" s="26">
        <f t="shared" si="0"/>
        <v>-0.86920479299999998</v>
      </c>
      <c r="I9" s="26">
        <f t="shared" si="0"/>
        <v>0.24702421400000002</v>
      </c>
      <c r="J9" s="26">
        <f t="shared" si="0"/>
        <v>-0.6206748955000001</v>
      </c>
      <c r="K9" s="26">
        <f t="shared" si="0"/>
        <v>0.17909426950000001</v>
      </c>
    </row>
    <row r="10" spans="1:15">
      <c r="A10" s="9"/>
      <c r="B10" s="23"/>
      <c r="C10" s="29">
        <v>2.0671279999999999</v>
      </c>
      <c r="D10" s="29">
        <v>2.0671279999999999</v>
      </c>
      <c r="E10" s="23"/>
      <c r="F10" s="23"/>
      <c r="G10" s="23"/>
      <c r="H10" s="23"/>
      <c r="I10" s="23"/>
      <c r="J10" s="23"/>
      <c r="K10" s="23"/>
    </row>
    <row r="11" spans="1:15">
      <c r="A11" s="9"/>
      <c r="B11" s="23"/>
      <c r="C11" s="23">
        <f>C10*C10</f>
        <v>4.2730181683839996</v>
      </c>
      <c r="D11" s="23">
        <f>D10*D10</f>
        <v>4.2730181683839996</v>
      </c>
      <c r="E11" s="23"/>
      <c r="F11" s="23"/>
      <c r="G11" s="23"/>
      <c r="H11" s="23"/>
      <c r="I11" s="23"/>
      <c r="J11" s="23"/>
      <c r="K11" s="23"/>
    </row>
    <row r="12" spans="1:15">
      <c r="A12" s="25" t="s">
        <v>117</v>
      </c>
      <c r="B12" s="23">
        <f>SUM(C11:D11)</f>
        <v>8.5460363367679992</v>
      </c>
      <c r="C12" s="23"/>
      <c r="D12" s="23"/>
      <c r="E12" s="23"/>
      <c r="F12" s="23"/>
      <c r="G12" s="23"/>
      <c r="H12" s="23"/>
      <c r="I12" s="23"/>
      <c r="J12" s="23"/>
      <c r="K12" s="23"/>
    </row>
    <row r="13" spans="1:15" ht="39.6">
      <c r="A13" s="9" t="s">
        <v>29</v>
      </c>
      <c r="B13" s="23">
        <v>3</v>
      </c>
      <c r="C13" s="23">
        <v>1.54670485</v>
      </c>
      <c r="D13" s="23">
        <v>-0.85639269200000001</v>
      </c>
      <c r="E13" s="23">
        <v>-0.74845342100000001</v>
      </c>
      <c r="F13" s="23">
        <v>1.2867796300000001</v>
      </c>
      <c r="G13" s="23">
        <v>0.57549879999999998</v>
      </c>
      <c r="H13" s="23">
        <v>-1.5486634399999999</v>
      </c>
      <c r="I13" s="23">
        <v>0.30331659500000002</v>
      </c>
      <c r="J13" s="23">
        <v>-1.5320011500000001</v>
      </c>
      <c r="K13" s="23">
        <v>1.38579651</v>
      </c>
    </row>
    <row r="14" spans="1:15" ht="26.4">
      <c r="A14" s="9" t="s">
        <v>51</v>
      </c>
      <c r="B14" s="23">
        <v>3</v>
      </c>
      <c r="C14" s="23">
        <v>-0.18366465200000001</v>
      </c>
      <c r="D14" s="23">
        <v>-1.44190708</v>
      </c>
      <c r="E14" s="23">
        <v>-1.1503836299999999</v>
      </c>
      <c r="F14" s="23">
        <v>0.47606633100000001</v>
      </c>
      <c r="G14" s="23">
        <v>0.57549879999999998</v>
      </c>
      <c r="H14" s="23">
        <v>-0.90129421600000004</v>
      </c>
      <c r="I14" s="23">
        <v>0.86624040700000005</v>
      </c>
      <c r="J14" s="23">
        <v>1.68444445</v>
      </c>
      <c r="K14" s="23">
        <v>0.56364773200000007</v>
      </c>
    </row>
    <row r="15" spans="1:15" ht="39.6">
      <c r="A15" s="9" t="s">
        <v>56</v>
      </c>
      <c r="B15" s="23">
        <v>3</v>
      </c>
      <c r="C15" s="23">
        <v>1.02504934</v>
      </c>
      <c r="D15" s="23">
        <v>-1.49906443</v>
      </c>
      <c r="E15" s="23">
        <v>-1.5928031300000001</v>
      </c>
      <c r="F15" s="23">
        <v>2.0904432499999999</v>
      </c>
      <c r="G15" s="23">
        <v>0.94207380600000001</v>
      </c>
      <c r="H15" s="23">
        <v>-0.627836528</v>
      </c>
      <c r="I15" s="23">
        <v>1.31657946</v>
      </c>
      <c r="J15" s="23">
        <v>1.8222921200000002</v>
      </c>
      <c r="K15" s="23">
        <v>0.56364773200000007</v>
      </c>
    </row>
    <row r="16" spans="1:15" ht="39.6">
      <c r="A16" s="9" t="s">
        <v>57</v>
      </c>
      <c r="B16" s="23">
        <v>3</v>
      </c>
      <c r="C16" s="23">
        <v>0.63486798100000008</v>
      </c>
      <c r="D16" s="23">
        <v>-2.8722350699999999</v>
      </c>
      <c r="E16" s="23">
        <v>-0.23986851100000001</v>
      </c>
      <c r="F16" s="23">
        <v>0.34212239500000002</v>
      </c>
      <c r="G16" s="23">
        <v>-0.44276510500000005</v>
      </c>
      <c r="H16" s="23">
        <v>-1.3896115199999999</v>
      </c>
      <c r="I16" s="23">
        <v>2.10467279</v>
      </c>
      <c r="J16" s="23">
        <v>0.16812009800000002</v>
      </c>
      <c r="K16" s="23">
        <v>0.32495937600000002</v>
      </c>
    </row>
    <row r="17" spans="1:11" ht="52.8">
      <c r="A17" s="9" t="s">
        <v>58</v>
      </c>
      <c r="B17" s="23">
        <v>3</v>
      </c>
      <c r="C17" s="23">
        <v>4.1295358000000002</v>
      </c>
      <c r="D17" s="23">
        <v>-2.0748202400000002</v>
      </c>
      <c r="E17" s="23">
        <v>-1.6377363599999999</v>
      </c>
      <c r="F17" s="23">
        <v>1.73090952</v>
      </c>
      <c r="G17" s="23">
        <v>-0.15765121200000001</v>
      </c>
      <c r="H17" s="23">
        <v>-1.74119997</v>
      </c>
      <c r="I17" s="23">
        <v>-0.315899598</v>
      </c>
      <c r="J17" s="23">
        <v>0.81140921900000007</v>
      </c>
      <c r="K17" s="23">
        <v>5.9750091700000001E-2</v>
      </c>
    </row>
    <row r="18" spans="1:11" ht="79.2">
      <c r="A18" s="9" t="s">
        <v>59</v>
      </c>
      <c r="B18" s="23">
        <v>3</v>
      </c>
      <c r="C18" s="23">
        <v>0.91053959300000009</v>
      </c>
      <c r="D18" s="23">
        <v>-1.4182076800000001</v>
      </c>
      <c r="E18" s="23">
        <v>-1.5641643599999999</v>
      </c>
      <c r="F18" s="23">
        <v>0.89199750200000005</v>
      </c>
      <c r="G18" s="23">
        <v>1.8788765999999999</v>
      </c>
      <c r="H18" s="23">
        <v>-0.75340383399999999</v>
      </c>
      <c r="I18" s="23">
        <v>1.0351175500000001</v>
      </c>
      <c r="J18" s="23">
        <v>-0.56706746900000005</v>
      </c>
      <c r="K18" s="23">
        <v>-0.19219872800000001</v>
      </c>
    </row>
    <row r="19" spans="1:11" ht="52.8">
      <c r="A19" s="9" t="s">
        <v>62</v>
      </c>
      <c r="B19" s="23">
        <v>3</v>
      </c>
      <c r="C19" s="23">
        <v>2.1955934199999998</v>
      </c>
      <c r="D19" s="23">
        <v>-1.56179812</v>
      </c>
      <c r="E19" s="23">
        <v>-2.0480606899999998</v>
      </c>
      <c r="F19" s="23">
        <v>0.79800175700000009</v>
      </c>
      <c r="G19" s="23">
        <v>-0.15765121200000001</v>
      </c>
      <c r="H19" s="23">
        <v>-2.5169268799999998</v>
      </c>
      <c r="I19" s="23">
        <v>-0.37219197900000001</v>
      </c>
      <c r="J19" s="23">
        <v>0.45913184300000004</v>
      </c>
      <c r="K19" s="23">
        <v>-1.2132544700000001</v>
      </c>
    </row>
    <row r="20" spans="1:11">
      <c r="A20" s="24" t="s">
        <v>114</v>
      </c>
      <c r="B20" s="26"/>
      <c r="C20" s="26">
        <f>AVERAGE(C13:C19)</f>
        <v>1.4655180474285714</v>
      </c>
      <c r="D20" s="26">
        <f t="shared" ref="D20:K20" si="1">AVERAGE(D13:D19)</f>
        <v>-1.6749179017142859</v>
      </c>
      <c r="E20" s="26">
        <f t="shared" si="1"/>
        <v>-1.2830671574285712</v>
      </c>
      <c r="F20" s="26">
        <f t="shared" si="1"/>
        <v>1.0880457692857142</v>
      </c>
      <c r="G20" s="26">
        <f t="shared" si="1"/>
        <v>0.45912578242857138</v>
      </c>
      <c r="H20" s="26">
        <f t="shared" si="1"/>
        <v>-1.3541337697142859</v>
      </c>
      <c r="I20" s="26">
        <f t="shared" si="1"/>
        <v>0.7054050321428571</v>
      </c>
      <c r="J20" s="26">
        <f t="shared" si="1"/>
        <v>0.40661844442857153</v>
      </c>
      <c r="K20" s="26">
        <f t="shared" si="1"/>
        <v>0.21319260624285716</v>
      </c>
    </row>
    <row r="21" spans="1:11">
      <c r="A21" s="9"/>
      <c r="B21" s="23"/>
      <c r="C21" s="29">
        <v>2.272961</v>
      </c>
      <c r="D21" s="29">
        <v>2.1417060000000001</v>
      </c>
      <c r="E21" s="29">
        <v>2.5710310000000001</v>
      </c>
      <c r="F21" s="29">
        <v>3.0913870000000001</v>
      </c>
      <c r="G21" s="29">
        <v>2.0221369999999999</v>
      </c>
      <c r="H21" s="29">
        <v>2.4791880000000002</v>
      </c>
      <c r="I21" s="23"/>
      <c r="J21" s="23"/>
      <c r="K21" s="23"/>
    </row>
    <row r="22" spans="1:11">
      <c r="A22" s="9"/>
      <c r="B22" s="23"/>
      <c r="C22" s="23">
        <f>C21*C21</f>
        <v>5.1663517075209997</v>
      </c>
      <c r="D22" s="23">
        <f t="shared" ref="D22:H22" si="2">D21*D21</f>
        <v>4.5869045904360002</v>
      </c>
      <c r="E22" s="23">
        <f t="shared" si="2"/>
        <v>6.6102004029610004</v>
      </c>
      <c r="F22" s="23">
        <f t="shared" si="2"/>
        <v>9.5566735837690011</v>
      </c>
      <c r="G22" s="23">
        <f t="shared" si="2"/>
        <v>4.0890380467689997</v>
      </c>
      <c r="H22" s="23">
        <f t="shared" si="2"/>
        <v>6.1463731393440009</v>
      </c>
      <c r="I22" s="23"/>
      <c r="J22" s="23"/>
      <c r="K22" s="23"/>
    </row>
    <row r="23" spans="1:11">
      <c r="A23" s="25" t="s">
        <v>118</v>
      </c>
      <c r="B23" s="23">
        <f>SUM(C22:H22)</f>
        <v>36.155541470800003</v>
      </c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39.6">
      <c r="A24" s="9" t="s">
        <v>46</v>
      </c>
      <c r="B24" s="23">
        <v>4</v>
      </c>
      <c r="C24" s="23">
        <v>-0.24728117800000002</v>
      </c>
      <c r="D24" s="23">
        <v>3.9434311800000001</v>
      </c>
      <c r="E24" s="23">
        <v>-0.43243949600000003</v>
      </c>
      <c r="F24" s="23">
        <v>-0.26650005300000001</v>
      </c>
      <c r="G24" s="23">
        <v>-0.27984288000000002</v>
      </c>
      <c r="H24" s="23">
        <v>0.61388460500000008</v>
      </c>
      <c r="I24" s="23">
        <v>-0.48477674200000004</v>
      </c>
      <c r="J24" s="23">
        <v>0.15280368999999999</v>
      </c>
      <c r="K24" s="23">
        <v>0.152573341</v>
      </c>
    </row>
    <row r="25" spans="1:11" ht="39.6">
      <c r="A25" s="9" t="s">
        <v>101</v>
      </c>
      <c r="B25" s="23">
        <v>4</v>
      </c>
      <c r="C25" s="23">
        <v>-0.76045448700000007</v>
      </c>
      <c r="D25" s="23">
        <v>1.4340838200000001</v>
      </c>
      <c r="E25" s="23">
        <v>-0.45811562700000003</v>
      </c>
      <c r="F25" s="23">
        <v>-0.72613924600000002</v>
      </c>
      <c r="G25" s="23">
        <v>4.6001569400000004E-2</v>
      </c>
      <c r="H25" s="23">
        <v>0.73387114200000003</v>
      </c>
      <c r="I25" s="23">
        <v>-3.1305186599999999</v>
      </c>
      <c r="J25" s="23">
        <v>-0.73554795300000009</v>
      </c>
      <c r="K25" s="23">
        <v>2.5261964400000001</v>
      </c>
    </row>
    <row r="26" spans="1:11" ht="52.8">
      <c r="A26" s="9" t="s">
        <v>104</v>
      </c>
      <c r="B26" s="23">
        <v>4</v>
      </c>
      <c r="C26" s="23">
        <v>-2.2405989900000001</v>
      </c>
      <c r="D26" s="23">
        <v>2.3806653999999998</v>
      </c>
      <c r="E26" s="23">
        <v>1.44043678</v>
      </c>
      <c r="F26" s="23">
        <v>-0.735773809</v>
      </c>
      <c r="G26" s="23">
        <v>-0.44276510500000005</v>
      </c>
      <c r="H26" s="23">
        <v>-1.9923345800000001</v>
      </c>
      <c r="I26" s="23">
        <v>-3.1868110399999998</v>
      </c>
      <c r="J26" s="23">
        <v>-0.84276280600000009</v>
      </c>
      <c r="K26" s="23">
        <v>6.7082348399999997E-3</v>
      </c>
    </row>
    <row r="27" spans="1:11">
      <c r="A27" s="24" t="s">
        <v>114</v>
      </c>
      <c r="B27" s="26"/>
      <c r="C27" s="26">
        <f>AVERAGE(C24:C26)</f>
        <v>-1.0827782183333332</v>
      </c>
      <c r="D27" s="26">
        <f t="shared" ref="D27:K27" si="3">AVERAGE(D24:D26)</f>
        <v>2.5860601333333335</v>
      </c>
      <c r="E27" s="26">
        <f t="shared" si="3"/>
        <v>0.18329388566666663</v>
      </c>
      <c r="F27" s="26">
        <f t="shared" si="3"/>
        <v>-0.57613770266666664</v>
      </c>
      <c r="G27" s="26">
        <f t="shared" si="3"/>
        <v>-0.22553547186666667</v>
      </c>
      <c r="H27" s="26">
        <f t="shared" si="3"/>
        <v>-0.21485961099999998</v>
      </c>
      <c r="I27" s="26">
        <f t="shared" si="3"/>
        <v>-2.2673688139999997</v>
      </c>
      <c r="J27" s="26">
        <f t="shared" si="3"/>
        <v>-0.47516902300000008</v>
      </c>
      <c r="K27" s="26">
        <f t="shared" si="3"/>
        <v>0.89515933861333341</v>
      </c>
    </row>
    <row r="28" spans="1:11">
      <c r="A28" s="9"/>
      <c r="B28" s="23"/>
      <c r="C28" s="29">
        <v>2.7979810000000001</v>
      </c>
      <c r="D28" s="29">
        <v>2.5123250000000001</v>
      </c>
      <c r="E28" s="29">
        <v>2.822247</v>
      </c>
      <c r="F28" s="23"/>
      <c r="G28" s="23"/>
      <c r="H28" s="23"/>
      <c r="I28" s="23"/>
      <c r="J28" s="23"/>
      <c r="K28" s="23"/>
    </row>
    <row r="29" spans="1:11">
      <c r="A29" s="9"/>
      <c r="B29" s="23"/>
      <c r="C29" s="23">
        <f>C28*C28</f>
        <v>7.8286976763610001</v>
      </c>
      <c r="D29" s="23">
        <f t="shared" ref="D29:E29" si="4">D28*D28</f>
        <v>6.3117769056250008</v>
      </c>
      <c r="E29" s="23">
        <f t="shared" si="4"/>
        <v>7.965078129009</v>
      </c>
      <c r="F29" s="23"/>
      <c r="G29" s="23"/>
      <c r="H29" s="23"/>
      <c r="I29" s="23"/>
      <c r="J29" s="23"/>
      <c r="K29" s="23"/>
    </row>
    <row r="30" spans="1:11">
      <c r="A30" s="25" t="s">
        <v>121</v>
      </c>
      <c r="B30" s="23">
        <f>SUM(C29:E29)</f>
        <v>22.105552710995003</v>
      </c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39.6">
      <c r="A31" s="9" t="s">
        <v>20</v>
      </c>
      <c r="B31" s="23">
        <v>5</v>
      </c>
      <c r="C31" s="23">
        <v>0.61790357400000007</v>
      </c>
      <c r="D31" s="23">
        <v>9.3321480299999992E-3</v>
      </c>
      <c r="E31" s="23">
        <v>-0.32232839400000002</v>
      </c>
      <c r="F31" s="23">
        <v>0.90139707600000007</v>
      </c>
      <c r="G31" s="23">
        <v>-0.27984288000000002</v>
      </c>
      <c r="H31" s="23">
        <v>-0.62225575900000007</v>
      </c>
      <c r="I31" s="23">
        <v>0.97882517000000002</v>
      </c>
      <c r="J31" s="23">
        <v>-0.84276280600000009</v>
      </c>
      <c r="K31" s="23">
        <v>0.25865705500000002</v>
      </c>
    </row>
    <row r="32" spans="1:11" ht="26.4">
      <c r="A32" s="9" t="s">
        <v>21</v>
      </c>
      <c r="B32" s="23">
        <v>5</v>
      </c>
      <c r="C32" s="23">
        <v>0.26165102900000003</v>
      </c>
      <c r="D32" s="23">
        <v>0.15571074400000001</v>
      </c>
      <c r="E32" s="23">
        <v>-8.1861548300000003E-2</v>
      </c>
      <c r="F32" s="23">
        <v>4.13360111E-2</v>
      </c>
      <c r="G32" s="23">
        <v>0.94207380600000001</v>
      </c>
      <c r="H32" s="23">
        <v>-1.57935767</v>
      </c>
      <c r="I32" s="23">
        <v>0.13443945200000001</v>
      </c>
      <c r="J32" s="23">
        <v>-0.49048543</v>
      </c>
      <c r="K32" s="23">
        <v>-0.32480337100000001</v>
      </c>
    </row>
    <row r="33" spans="1:11" ht="39.6">
      <c r="A33" s="9" t="s">
        <v>23</v>
      </c>
      <c r="B33" s="23">
        <v>5</v>
      </c>
      <c r="C33" s="23">
        <v>0.121694672</v>
      </c>
      <c r="D33" s="23">
        <v>-0.47302017800000001</v>
      </c>
      <c r="E33" s="23">
        <v>-1.2214867599999999</v>
      </c>
      <c r="F33" s="23">
        <v>0.295124522</v>
      </c>
      <c r="G33" s="23">
        <v>0.331115463</v>
      </c>
      <c r="H33" s="23">
        <v>0.34600768700000001</v>
      </c>
      <c r="I33" s="23">
        <v>0.69736326400000004</v>
      </c>
      <c r="J33" s="23">
        <v>0.305967767</v>
      </c>
      <c r="K33" s="23">
        <v>0.29843844800000002</v>
      </c>
    </row>
    <row r="34" spans="1:11" ht="26.4">
      <c r="A34" s="9" t="s">
        <v>25</v>
      </c>
      <c r="B34" s="23">
        <v>5</v>
      </c>
      <c r="C34" s="23">
        <v>1.04625485</v>
      </c>
      <c r="D34" s="23">
        <v>-0.61939877399999999</v>
      </c>
      <c r="E34" s="23">
        <v>1.1510865299999999</v>
      </c>
      <c r="F34" s="23">
        <v>0.12358228800000001</v>
      </c>
      <c r="G34" s="23">
        <v>0.45330713100000003</v>
      </c>
      <c r="H34" s="23">
        <v>0.11440576700000001</v>
      </c>
      <c r="I34" s="23">
        <v>7.8147070400000004E-2</v>
      </c>
      <c r="J34" s="23">
        <v>-0.52111824600000001</v>
      </c>
      <c r="K34" s="23">
        <v>-0.28502197800000001</v>
      </c>
    </row>
    <row r="35" spans="1:11" ht="26.4">
      <c r="A35" s="9" t="s">
        <v>27</v>
      </c>
      <c r="B35" s="23">
        <v>5</v>
      </c>
      <c r="C35" s="23">
        <v>-7.7637109300000007E-2</v>
      </c>
      <c r="D35" s="23">
        <v>-0.272272389</v>
      </c>
      <c r="E35" s="23">
        <v>-1.2891334999999999</v>
      </c>
      <c r="F35" s="23">
        <v>0.149431118</v>
      </c>
      <c r="G35" s="23">
        <v>-7.6190099300000008E-2</v>
      </c>
      <c r="H35" s="23">
        <v>0.32647499500000005</v>
      </c>
      <c r="I35" s="23">
        <v>0.92253278900000002</v>
      </c>
      <c r="J35" s="23">
        <v>0.21406932100000001</v>
      </c>
      <c r="K35" s="23">
        <v>-0.92152426100000007</v>
      </c>
    </row>
    <row r="36" spans="1:11" ht="26.4">
      <c r="A36" s="9" t="s">
        <v>28</v>
      </c>
      <c r="B36" s="23">
        <v>5</v>
      </c>
      <c r="C36" s="23">
        <v>-0.13701253300000002</v>
      </c>
      <c r="D36" s="23">
        <v>0.81092922200000006</v>
      </c>
      <c r="E36" s="23">
        <v>-0.97114448300000011</v>
      </c>
      <c r="F36" s="23">
        <v>0.60531047999999998</v>
      </c>
      <c r="G36" s="23">
        <v>0.73842102500000006</v>
      </c>
      <c r="H36" s="23">
        <v>2.7903845699999998E-3</v>
      </c>
      <c r="I36" s="23">
        <v>1.1477023100000001</v>
      </c>
      <c r="J36" s="23">
        <v>-0.75086436000000001</v>
      </c>
      <c r="K36" s="23">
        <v>0.17909427</v>
      </c>
    </row>
    <row r="37" spans="1:11" ht="26.4">
      <c r="A37" s="9" t="s">
        <v>30</v>
      </c>
      <c r="B37" s="23">
        <v>5</v>
      </c>
      <c r="C37" s="23">
        <v>-0.382996434</v>
      </c>
      <c r="D37" s="23">
        <v>2.0484803000000003E-2</v>
      </c>
      <c r="E37" s="23">
        <v>1.39204715</v>
      </c>
      <c r="F37" s="23">
        <v>0.22932750100000002</v>
      </c>
      <c r="G37" s="23">
        <v>0.16819323800000002</v>
      </c>
      <c r="H37" s="23">
        <v>-0.139519228</v>
      </c>
      <c r="I37" s="23">
        <v>0.64107088300000004</v>
      </c>
      <c r="J37" s="23">
        <v>-0.61301669200000009</v>
      </c>
      <c r="K37" s="23">
        <v>1.2929732600000001</v>
      </c>
    </row>
    <row r="38" spans="1:11" ht="26.4">
      <c r="A38" s="9" t="s">
        <v>31</v>
      </c>
      <c r="B38" s="23">
        <v>5</v>
      </c>
      <c r="C38" s="23">
        <v>0.67727899800000002</v>
      </c>
      <c r="D38" s="23">
        <v>-0.40749833000000002</v>
      </c>
      <c r="E38" s="23">
        <v>-0.12975740900000002</v>
      </c>
      <c r="F38" s="23">
        <v>-6.4409201900000004E-2</v>
      </c>
      <c r="G38" s="23">
        <v>5.27101316E-3</v>
      </c>
      <c r="H38" s="23">
        <v>0.91524613900000007</v>
      </c>
      <c r="I38" s="23">
        <v>0.24702421400000002</v>
      </c>
      <c r="J38" s="23">
        <v>-0.21479009300000002</v>
      </c>
      <c r="K38" s="23">
        <v>1.9968699100000001E-2</v>
      </c>
    </row>
    <row r="39" spans="1:11" ht="39.6">
      <c r="A39" s="9" t="s">
        <v>32</v>
      </c>
      <c r="B39" s="23">
        <v>5</v>
      </c>
      <c r="C39" s="23">
        <v>-0.76469558900000001</v>
      </c>
      <c r="D39" s="23">
        <v>0.43592119900000004</v>
      </c>
      <c r="E39" s="23">
        <v>-0.91929844900000002</v>
      </c>
      <c r="F39" s="23">
        <v>5.54353728E-2</v>
      </c>
      <c r="G39" s="23">
        <v>0.57549879999999998</v>
      </c>
      <c r="H39" s="23">
        <v>-7.8130767900000009E-2</v>
      </c>
      <c r="I39" s="23">
        <v>0.24702421400000002</v>
      </c>
      <c r="J39" s="23">
        <v>4.5588836800000004E-2</v>
      </c>
      <c r="K39" s="23">
        <v>1.22667094</v>
      </c>
    </row>
    <row r="40" spans="1:11" ht="39.6">
      <c r="A40" s="9" t="s">
        <v>33</v>
      </c>
      <c r="B40" s="23">
        <v>5</v>
      </c>
      <c r="C40" s="23">
        <v>6.2319247700000004E-2</v>
      </c>
      <c r="D40" s="23">
        <v>0.16965156300000001</v>
      </c>
      <c r="E40" s="23">
        <v>-0.76771051900000009</v>
      </c>
      <c r="F40" s="23">
        <v>-4.0910265600000002E-2</v>
      </c>
      <c r="G40" s="23">
        <v>-0.52422621800000002</v>
      </c>
      <c r="H40" s="23">
        <v>0.281828841</v>
      </c>
      <c r="I40" s="23">
        <v>1.65433374</v>
      </c>
      <c r="J40" s="23">
        <v>-0.138208055</v>
      </c>
      <c r="K40" s="23">
        <v>2.6322801500000002</v>
      </c>
    </row>
    <row r="41" spans="1:11" ht="26.4">
      <c r="A41" s="9" t="s">
        <v>35</v>
      </c>
      <c r="B41" s="23">
        <v>5</v>
      </c>
      <c r="C41" s="23">
        <v>-1.2972781799999999E-3</v>
      </c>
      <c r="D41" s="23">
        <v>-0.47302017800000001</v>
      </c>
      <c r="E41" s="23">
        <v>-0.48428553100000005</v>
      </c>
      <c r="F41" s="23">
        <v>0.27162558600000003</v>
      </c>
      <c r="G41" s="23">
        <v>1.3493793700000001</v>
      </c>
      <c r="H41" s="23">
        <v>0.41576730100000003</v>
      </c>
      <c r="I41" s="23">
        <v>0.58477850100000006</v>
      </c>
      <c r="J41" s="23">
        <v>-0.32200494600000001</v>
      </c>
      <c r="K41" s="23">
        <v>1.2399314100000001</v>
      </c>
    </row>
    <row r="42" spans="1:11" ht="39.6">
      <c r="A42" s="9" t="s">
        <v>36</v>
      </c>
      <c r="B42" s="23">
        <v>5</v>
      </c>
      <c r="C42" s="23">
        <v>-0.69259685999999998</v>
      </c>
      <c r="D42" s="23">
        <v>0.13340543400000002</v>
      </c>
      <c r="E42" s="23">
        <v>0.24550912700000002</v>
      </c>
      <c r="F42" s="23">
        <v>-5.9709414600000003E-2</v>
      </c>
      <c r="G42" s="23">
        <v>0.77915158100000004</v>
      </c>
      <c r="H42" s="23">
        <v>0.47994614600000002</v>
      </c>
      <c r="I42" s="23">
        <v>0.86624040700000005</v>
      </c>
      <c r="J42" s="23">
        <v>-0.62833309900000001</v>
      </c>
      <c r="K42" s="23">
        <v>0.51060587499999999</v>
      </c>
    </row>
    <row r="43" spans="1:11" ht="39.6">
      <c r="A43" s="9" t="s">
        <v>43</v>
      </c>
      <c r="B43" s="23">
        <v>5</v>
      </c>
      <c r="C43" s="23">
        <v>-0.11156592300000001</v>
      </c>
      <c r="D43" s="23">
        <v>0.57532938600000005</v>
      </c>
      <c r="E43" s="23">
        <v>-0.22505535800000001</v>
      </c>
      <c r="F43" s="23">
        <v>0.48311601200000004</v>
      </c>
      <c r="G43" s="23">
        <v>0.37184601900000003</v>
      </c>
      <c r="H43" s="23">
        <v>7.5340383400000002E-2</v>
      </c>
      <c r="I43" s="23">
        <v>0.97882517000000002</v>
      </c>
      <c r="J43" s="23">
        <v>-3.60386062E-4</v>
      </c>
      <c r="K43" s="23">
        <v>1.2929732600000001</v>
      </c>
    </row>
    <row r="44" spans="1:11" ht="39.6">
      <c r="A44" s="9" t="s">
        <v>44</v>
      </c>
      <c r="B44" s="23">
        <v>5</v>
      </c>
      <c r="C44" s="23">
        <v>2.0895658699999999</v>
      </c>
      <c r="D44" s="23">
        <v>-0.90797372100000007</v>
      </c>
      <c r="E44" s="23">
        <v>-0.75141605100000008</v>
      </c>
      <c r="F44" s="23">
        <v>-0.21480239400000001</v>
      </c>
      <c r="G44" s="23">
        <v>-0.56495677399999999</v>
      </c>
      <c r="H44" s="23">
        <v>-0.43250960800000005</v>
      </c>
      <c r="I44" s="23">
        <v>0.415901358</v>
      </c>
      <c r="J44" s="23">
        <v>-1.225673</v>
      </c>
      <c r="K44" s="23">
        <v>-1.18673355</v>
      </c>
    </row>
    <row r="45" spans="1:11" ht="52.8">
      <c r="A45" s="9" t="s">
        <v>50</v>
      </c>
      <c r="B45" s="23">
        <v>5</v>
      </c>
      <c r="C45" s="23">
        <v>0.668796795</v>
      </c>
      <c r="D45" s="23">
        <v>-0.29457769900000003</v>
      </c>
      <c r="E45" s="23">
        <v>-0.90053512200000008</v>
      </c>
      <c r="F45" s="23">
        <v>-0.61663420300000005</v>
      </c>
      <c r="G45" s="23">
        <v>-0.40203454900000002</v>
      </c>
      <c r="H45" s="23">
        <v>3.4377537899999999</v>
      </c>
      <c r="I45" s="23">
        <v>1.4291642200000001</v>
      </c>
      <c r="J45" s="23">
        <v>-0.260739316</v>
      </c>
      <c r="K45" s="23">
        <v>-7.2854550500000004E-2</v>
      </c>
    </row>
    <row r="46" spans="1:11" ht="39.6">
      <c r="A46" s="9" t="s">
        <v>52</v>
      </c>
      <c r="B46" s="23">
        <v>5</v>
      </c>
      <c r="C46" s="23">
        <v>0.42281289500000002</v>
      </c>
      <c r="D46" s="23">
        <v>-0.85499860999999999</v>
      </c>
      <c r="E46" s="23">
        <v>-0.72919632200000006</v>
      </c>
      <c r="F46" s="23">
        <v>0.41026931</v>
      </c>
      <c r="G46" s="23">
        <v>-0.15765121200000001</v>
      </c>
      <c r="H46" s="23">
        <v>0.13393845900000001</v>
      </c>
      <c r="I46" s="23">
        <v>0.69736326400000004</v>
      </c>
      <c r="J46" s="23">
        <v>-1.36352067</v>
      </c>
      <c r="K46" s="23">
        <v>0.36474076900000002</v>
      </c>
    </row>
    <row r="47" spans="1:11" ht="39.6">
      <c r="A47" s="9" t="s">
        <v>53</v>
      </c>
      <c r="B47" s="23">
        <v>5</v>
      </c>
      <c r="C47" s="23">
        <v>-0.43813075600000001</v>
      </c>
      <c r="D47" s="23">
        <v>-0.36567587400000001</v>
      </c>
      <c r="E47" s="23">
        <v>-0.785486303</v>
      </c>
      <c r="F47" s="23">
        <v>-0.53908771300000002</v>
      </c>
      <c r="G47" s="23">
        <v>0.57549879999999998</v>
      </c>
      <c r="H47" s="23">
        <v>-2.5113461100000001E-2</v>
      </c>
      <c r="I47" s="23">
        <v>-0.315899598</v>
      </c>
      <c r="J47" s="23">
        <v>1.0717881499999999</v>
      </c>
      <c r="K47" s="23">
        <v>-9.9375478900000008E-2</v>
      </c>
    </row>
    <row r="48" spans="1:11" ht="39.6">
      <c r="A48" s="9" t="s">
        <v>54</v>
      </c>
      <c r="B48" s="23">
        <v>5</v>
      </c>
      <c r="C48" s="23">
        <v>-0.51447058700000003</v>
      </c>
      <c r="D48" s="23">
        <v>-0.39913383900000005</v>
      </c>
      <c r="E48" s="23">
        <v>-0.97558842900000009</v>
      </c>
      <c r="F48" s="23">
        <v>-0.37459515999999998</v>
      </c>
      <c r="G48" s="23">
        <v>-0.68714844200000003</v>
      </c>
      <c r="H48" s="23">
        <v>2.7903845699999998E-3</v>
      </c>
      <c r="I48" s="23">
        <v>0.13443945200000001</v>
      </c>
      <c r="J48" s="23">
        <v>0.61229591900000002</v>
      </c>
      <c r="K48" s="23">
        <v>1.63774533</v>
      </c>
    </row>
    <row r="49" spans="1:11" ht="39.6">
      <c r="A49" s="9" t="s">
        <v>55</v>
      </c>
      <c r="B49" s="23">
        <v>5</v>
      </c>
      <c r="C49" s="23">
        <v>-0.46357736700000002</v>
      </c>
      <c r="D49" s="23">
        <v>0.92942617999999999</v>
      </c>
      <c r="E49" s="23">
        <v>-0.272951218</v>
      </c>
      <c r="F49" s="23">
        <v>-9.0258031700000005E-2</v>
      </c>
      <c r="G49" s="23">
        <v>-0.56495677399999999</v>
      </c>
      <c r="H49" s="23">
        <v>-0.8315346010000001</v>
      </c>
      <c r="I49" s="23">
        <v>1.0351175500000001</v>
      </c>
      <c r="J49" s="23">
        <v>0.48976465800000002</v>
      </c>
      <c r="K49" s="23">
        <v>0.47082448300000002</v>
      </c>
    </row>
    <row r="50" spans="1:11" ht="79.2">
      <c r="A50" s="9" t="s">
        <v>60</v>
      </c>
      <c r="B50" s="23">
        <v>5</v>
      </c>
      <c r="C50" s="23">
        <v>1.31344426</v>
      </c>
      <c r="D50" s="23">
        <v>-0.94700801300000004</v>
      </c>
      <c r="E50" s="23">
        <v>0.41882301400000005</v>
      </c>
      <c r="F50" s="23">
        <v>0.11183282</v>
      </c>
      <c r="G50" s="23">
        <v>-1.6646817899999999</v>
      </c>
      <c r="H50" s="23">
        <v>-0.73387114200000003</v>
      </c>
      <c r="I50" s="23">
        <v>0.64107088300000004</v>
      </c>
      <c r="J50" s="23">
        <v>-1.54731756</v>
      </c>
      <c r="K50" s="23">
        <v>3.3229163300000003E-2</v>
      </c>
    </row>
    <row r="51" spans="1:11" ht="39.6">
      <c r="A51" s="9" t="s">
        <v>63</v>
      </c>
      <c r="B51" s="23">
        <v>5</v>
      </c>
      <c r="C51" s="23">
        <v>-2.67438885E-2</v>
      </c>
      <c r="D51" s="23">
        <v>-1.1589084599999999</v>
      </c>
      <c r="E51" s="23">
        <v>0.15860529800000001</v>
      </c>
      <c r="F51" s="23">
        <v>-7.6158669999999998E-2</v>
      </c>
      <c r="G51" s="23">
        <v>-1.094454</v>
      </c>
      <c r="H51" s="23">
        <v>-0.27066730300000003</v>
      </c>
      <c r="I51" s="23">
        <v>1.7106261300000001</v>
      </c>
      <c r="J51" s="23">
        <v>1.9754562</v>
      </c>
      <c r="K51" s="23">
        <v>0.39126169700000002</v>
      </c>
    </row>
    <row r="52" spans="1:11" ht="52.8">
      <c r="A52" s="9" t="s">
        <v>64</v>
      </c>
      <c r="B52" s="23">
        <v>5</v>
      </c>
      <c r="C52" s="23">
        <v>0.35495526700000002</v>
      </c>
      <c r="D52" s="23">
        <v>-0.52738937100000005</v>
      </c>
      <c r="E52" s="23">
        <v>1.56980498</v>
      </c>
      <c r="F52" s="23">
        <v>3.4286330199999999E-2</v>
      </c>
      <c r="G52" s="23">
        <v>4.6001569400000004E-2</v>
      </c>
      <c r="H52" s="23">
        <v>-0.77293652600000007</v>
      </c>
      <c r="I52" s="23">
        <v>-0.20331483600000003</v>
      </c>
      <c r="J52" s="23">
        <v>0.26001854400000002</v>
      </c>
      <c r="K52" s="23">
        <v>-0.28502197800000001</v>
      </c>
    </row>
    <row r="53" spans="1:11" ht="39.6">
      <c r="A53" s="9" t="s">
        <v>65</v>
      </c>
      <c r="B53" s="23">
        <v>5</v>
      </c>
      <c r="C53" s="23">
        <v>0.33374975800000001</v>
      </c>
      <c r="D53" s="23">
        <v>0.25887280200000001</v>
      </c>
      <c r="E53" s="23">
        <v>0.48202579900000003</v>
      </c>
      <c r="F53" s="23">
        <v>-0.20540281900000001</v>
      </c>
      <c r="G53" s="23">
        <v>-0.52422621800000002</v>
      </c>
      <c r="H53" s="23">
        <v>0.29299037999999999</v>
      </c>
      <c r="I53" s="23">
        <v>0.75365564500000004</v>
      </c>
      <c r="J53" s="23">
        <v>1.5312803800000001</v>
      </c>
      <c r="K53" s="23">
        <v>-0.36458476300000003</v>
      </c>
    </row>
    <row r="54" spans="1:11" ht="52.8">
      <c r="A54" s="9" t="s">
        <v>66</v>
      </c>
      <c r="B54" s="23">
        <v>5</v>
      </c>
      <c r="C54" s="23">
        <v>1.10138917</v>
      </c>
      <c r="D54" s="23">
        <v>-0.71280225900000005</v>
      </c>
      <c r="E54" s="23">
        <v>-1.0634798000000001</v>
      </c>
      <c r="F54" s="23">
        <v>-1.9761223099999999E-2</v>
      </c>
      <c r="G54" s="23">
        <v>-0.23911232400000001</v>
      </c>
      <c r="H54" s="23">
        <v>-0.56086729800000001</v>
      </c>
      <c r="I54" s="23">
        <v>-0.76623864800000008</v>
      </c>
      <c r="J54" s="23">
        <v>1.92950698</v>
      </c>
      <c r="K54" s="23">
        <v>-0.37784522800000003</v>
      </c>
    </row>
    <row r="55" spans="1:11" ht="39.6">
      <c r="A55" s="9" t="s">
        <v>67</v>
      </c>
      <c r="B55" s="23">
        <v>5</v>
      </c>
      <c r="C55" s="23">
        <v>1.5000527300000002</v>
      </c>
      <c r="D55" s="23">
        <v>-1.02925884</v>
      </c>
      <c r="E55" s="23">
        <v>-0.134695126</v>
      </c>
      <c r="F55" s="23">
        <v>0.39851984100000004</v>
      </c>
      <c r="G55" s="23">
        <v>-1.78687346</v>
      </c>
      <c r="H55" s="23">
        <v>-0.52738268300000002</v>
      </c>
      <c r="I55" s="23">
        <v>0.97882517000000002</v>
      </c>
      <c r="J55" s="23">
        <v>0.305967767</v>
      </c>
      <c r="K55" s="23">
        <v>2.6853220100000001</v>
      </c>
    </row>
    <row r="56" spans="1:11" ht="52.8">
      <c r="A56" s="9" t="s">
        <v>68</v>
      </c>
      <c r="B56" s="23">
        <v>5</v>
      </c>
      <c r="C56" s="23">
        <v>-0.11580702500000001</v>
      </c>
      <c r="D56" s="23">
        <v>0.19753319999999999</v>
      </c>
      <c r="E56" s="23">
        <v>0.81433419100000004</v>
      </c>
      <c r="F56" s="23">
        <v>-9.7307712599999999E-2</v>
      </c>
      <c r="G56" s="23">
        <v>-1.42029845</v>
      </c>
      <c r="H56" s="23">
        <v>-0.19253653500000001</v>
      </c>
      <c r="I56" s="23">
        <v>0.92253278900000002</v>
      </c>
      <c r="J56" s="23">
        <v>0.97988970300000011</v>
      </c>
      <c r="K56" s="23">
        <v>0.139312877</v>
      </c>
    </row>
    <row r="57" spans="1:11" ht="52.8">
      <c r="A57" s="9" t="s">
        <v>69</v>
      </c>
      <c r="B57" s="23">
        <v>5</v>
      </c>
      <c r="C57" s="23">
        <v>-2.2502786800000001E-2</v>
      </c>
      <c r="D57" s="23">
        <v>0.74401329199999999</v>
      </c>
      <c r="E57" s="23">
        <v>-0.20678580300000002</v>
      </c>
      <c r="F57" s="23">
        <v>0.38442048000000001</v>
      </c>
      <c r="G57" s="23">
        <v>0.29038490700000003</v>
      </c>
      <c r="H57" s="23">
        <v>-0.86501921600000009</v>
      </c>
      <c r="I57" s="23">
        <v>1.20399469</v>
      </c>
      <c r="J57" s="23">
        <v>0.12217087500000001</v>
      </c>
      <c r="K57" s="23">
        <v>-0.19219872800000001</v>
      </c>
    </row>
    <row r="58" spans="1:11" ht="26.4">
      <c r="A58" s="9" t="s">
        <v>70</v>
      </c>
      <c r="B58" s="23">
        <v>5</v>
      </c>
      <c r="C58" s="23">
        <v>0.21924001200000001</v>
      </c>
      <c r="D58" s="23">
        <v>-0.88566841100000004</v>
      </c>
      <c r="E58" s="23">
        <v>0.23958386600000001</v>
      </c>
      <c r="F58" s="23">
        <v>-0.39104441500000003</v>
      </c>
      <c r="G58" s="23">
        <v>-0.40203454900000002</v>
      </c>
      <c r="H58" s="23">
        <v>-0.54970576000000004</v>
      </c>
      <c r="I58" s="23">
        <v>0.47219373900000006</v>
      </c>
      <c r="J58" s="23">
        <v>-9.2258831900000005E-2</v>
      </c>
      <c r="K58" s="23">
        <v>0.69625237400000006</v>
      </c>
    </row>
    <row r="59" spans="1:11" ht="39.6">
      <c r="A59" s="9" t="s">
        <v>73</v>
      </c>
      <c r="B59" s="23">
        <v>5</v>
      </c>
      <c r="C59" s="23">
        <v>0.30406204600000003</v>
      </c>
      <c r="D59" s="23">
        <v>0.101341551</v>
      </c>
      <c r="E59" s="23">
        <v>0.74668746100000005</v>
      </c>
      <c r="F59" s="23">
        <v>-0.35814590400000001</v>
      </c>
      <c r="G59" s="23">
        <v>0.29038490700000003</v>
      </c>
      <c r="H59" s="23">
        <v>-0.90687498500000008</v>
      </c>
      <c r="I59" s="23">
        <v>-3.4437691999999999E-2</v>
      </c>
      <c r="J59" s="23">
        <v>-3.0993201300000002E-2</v>
      </c>
      <c r="K59" s="23">
        <v>-0.81544054700000002</v>
      </c>
    </row>
    <row r="60" spans="1:11" ht="39.6">
      <c r="A60" s="9" t="s">
        <v>74</v>
      </c>
      <c r="B60" s="23">
        <v>5</v>
      </c>
      <c r="C60" s="23">
        <v>-0.20487016100000002</v>
      </c>
      <c r="D60" s="23">
        <v>-0.45489711400000005</v>
      </c>
      <c r="E60" s="23">
        <v>-0.25665674999999999</v>
      </c>
      <c r="F60" s="23">
        <v>-8.3208350799999997E-2</v>
      </c>
      <c r="G60" s="23">
        <v>4.6001569400000004E-2</v>
      </c>
      <c r="H60" s="23">
        <v>0.8315346010000001</v>
      </c>
      <c r="I60" s="23">
        <v>0.52848612000000006</v>
      </c>
      <c r="J60" s="23">
        <v>-0.398586985</v>
      </c>
      <c r="K60" s="23">
        <v>-0.25850105000000001</v>
      </c>
    </row>
    <row r="61" spans="1:11" ht="26.4">
      <c r="A61" s="9" t="s">
        <v>75</v>
      </c>
      <c r="B61" s="23">
        <v>5</v>
      </c>
      <c r="C61" s="23">
        <v>0.55004594600000001</v>
      </c>
      <c r="D61" s="23">
        <v>-0.42283323100000003</v>
      </c>
      <c r="E61" s="23">
        <v>0.36845829400000002</v>
      </c>
      <c r="F61" s="23">
        <v>9.3033670700000001E-2</v>
      </c>
      <c r="G61" s="23">
        <v>-0.60568732999999997</v>
      </c>
      <c r="H61" s="23">
        <v>-9.2082690800000006E-2</v>
      </c>
      <c r="I61" s="23">
        <v>0.30331659500000002</v>
      </c>
      <c r="J61" s="23">
        <v>0.36723339700000002</v>
      </c>
      <c r="K61" s="23">
        <v>0.285177984</v>
      </c>
    </row>
    <row r="62" spans="1:11" ht="39.6">
      <c r="A62" s="9" t="s">
        <v>76</v>
      </c>
      <c r="B62" s="23">
        <v>5</v>
      </c>
      <c r="C62" s="23">
        <v>-0.63322143600000003</v>
      </c>
      <c r="D62" s="23">
        <v>-6.8736436499999998E-2</v>
      </c>
      <c r="E62" s="23">
        <v>-0.69611361400000005</v>
      </c>
      <c r="F62" s="23">
        <v>-0.30644824500000001</v>
      </c>
      <c r="G62" s="23">
        <v>-0.68714844200000003</v>
      </c>
      <c r="H62" s="23">
        <v>0.19253653500000001</v>
      </c>
      <c r="I62" s="23">
        <v>0.24702421400000002</v>
      </c>
      <c r="J62" s="23">
        <v>0.41318262</v>
      </c>
      <c r="K62" s="23">
        <v>0.32495937600000002</v>
      </c>
    </row>
    <row r="63" spans="1:11" ht="39.6">
      <c r="A63" s="9" t="s">
        <v>77</v>
      </c>
      <c r="B63" s="23">
        <v>5</v>
      </c>
      <c r="C63" s="23">
        <v>-0.24304007700000002</v>
      </c>
      <c r="D63" s="23">
        <v>-1.82050691E-3</v>
      </c>
      <c r="E63" s="23">
        <v>-0.70006378899999999</v>
      </c>
      <c r="F63" s="23">
        <v>-0.11845675500000001</v>
      </c>
      <c r="G63" s="23">
        <v>0.331115463</v>
      </c>
      <c r="H63" s="23">
        <v>-0.61667499000000003</v>
      </c>
      <c r="I63" s="23">
        <v>-0.54106912299999999</v>
      </c>
      <c r="J63" s="23">
        <v>0.68887795800000007</v>
      </c>
      <c r="K63" s="23">
        <v>-0.76239869000000005</v>
      </c>
    </row>
    <row r="64" spans="1:11" ht="39.6">
      <c r="A64" s="9" t="s">
        <v>78</v>
      </c>
      <c r="B64" s="23">
        <v>5</v>
      </c>
      <c r="C64" s="23">
        <v>-0.34058541600000003</v>
      </c>
      <c r="D64" s="23">
        <v>-0.14122869400000002</v>
      </c>
      <c r="E64" s="23">
        <v>1.7910147300000001</v>
      </c>
      <c r="F64" s="23">
        <v>-0.41219345800000001</v>
      </c>
      <c r="G64" s="23">
        <v>-0.64641788600000005</v>
      </c>
      <c r="H64" s="23">
        <v>0.19253653500000001</v>
      </c>
      <c r="I64" s="23">
        <v>0.13443945200000001</v>
      </c>
      <c r="J64" s="23">
        <v>1.40874912</v>
      </c>
      <c r="K64" s="23">
        <v>0.85537794500000008</v>
      </c>
    </row>
    <row r="65" spans="1:45" ht="39.6">
      <c r="A65" s="9" t="s">
        <v>79</v>
      </c>
      <c r="B65" s="23">
        <v>5</v>
      </c>
      <c r="C65" s="23">
        <v>-0.55688160500000006</v>
      </c>
      <c r="D65" s="23">
        <v>0.15431666200000002</v>
      </c>
      <c r="E65" s="23">
        <v>0.69286633900000005</v>
      </c>
      <c r="F65" s="23">
        <v>-0.42864271300000001</v>
      </c>
      <c r="G65" s="23">
        <v>-0.93153178000000003</v>
      </c>
      <c r="H65" s="23">
        <v>-1.0017480599999999</v>
      </c>
      <c r="I65" s="23">
        <v>0.35960897600000002</v>
      </c>
      <c r="J65" s="23">
        <v>0.35191698999999999</v>
      </c>
      <c r="K65" s="23">
        <v>0.112791949</v>
      </c>
    </row>
    <row r="66" spans="1:45" ht="92.4">
      <c r="A66" s="12" t="s">
        <v>80</v>
      </c>
      <c r="B66" s="23">
        <v>5</v>
      </c>
      <c r="C66" s="23">
        <v>0.60518026899999999</v>
      </c>
      <c r="D66" s="23">
        <v>-0.67795021300000002</v>
      </c>
      <c r="E66" s="23">
        <v>7.0173680299999994E-3</v>
      </c>
      <c r="F66" s="23">
        <v>-0.71062994800000001</v>
      </c>
      <c r="G66" s="23">
        <v>-1.1351845599999999</v>
      </c>
      <c r="H66" s="23">
        <v>-0.89013267700000009</v>
      </c>
      <c r="I66" s="23">
        <v>-0.54106912299999999</v>
      </c>
      <c r="J66" s="23">
        <v>-0.30668853900000004</v>
      </c>
      <c r="K66" s="23">
        <v>0.271917519</v>
      </c>
    </row>
    <row r="67" spans="1:45" ht="39.6">
      <c r="A67" s="9" t="s">
        <v>86</v>
      </c>
      <c r="B67" s="23">
        <v>5</v>
      </c>
      <c r="C67" s="23">
        <v>1.46188282</v>
      </c>
      <c r="D67" s="23">
        <v>0.68406777200000002</v>
      </c>
      <c r="E67" s="23">
        <v>0.24402781200000001</v>
      </c>
      <c r="F67" s="23">
        <v>-0.51558877700000005</v>
      </c>
      <c r="G67" s="23">
        <v>-1.42029845</v>
      </c>
      <c r="H67" s="23">
        <v>-0.15905192000000001</v>
      </c>
      <c r="I67" s="23">
        <v>-0.147022454</v>
      </c>
      <c r="J67" s="23">
        <v>-0.35263776200000002</v>
      </c>
      <c r="K67" s="23">
        <v>-0.41762662</v>
      </c>
    </row>
    <row r="68" spans="1:45" ht="39.6">
      <c r="A68" s="9" t="s">
        <v>90</v>
      </c>
      <c r="B68" s="23">
        <v>5</v>
      </c>
      <c r="C68" s="23">
        <v>-0.66715024900000008</v>
      </c>
      <c r="D68" s="23">
        <v>-4.3642962899999999E-2</v>
      </c>
      <c r="E68" s="23">
        <v>-0.33961040600000003</v>
      </c>
      <c r="F68" s="23">
        <v>-0.301748458</v>
      </c>
      <c r="G68" s="23">
        <v>-0.11692065500000001</v>
      </c>
      <c r="H68" s="23">
        <v>-0.29578076400000003</v>
      </c>
      <c r="I68" s="23">
        <v>-0.59736150399999999</v>
      </c>
      <c r="J68" s="23">
        <v>6.0905244500000004E-2</v>
      </c>
      <c r="K68" s="23">
        <v>8.6271020200000006E-2</v>
      </c>
    </row>
    <row r="69" spans="1:45" ht="39.6">
      <c r="A69" s="9" t="s">
        <v>91</v>
      </c>
      <c r="B69" s="23">
        <v>5</v>
      </c>
      <c r="C69" s="23">
        <v>-0.56960491000000002</v>
      </c>
      <c r="D69" s="23">
        <v>-0.26530197999999999</v>
      </c>
      <c r="E69" s="23">
        <v>7.5111397899999995E-3</v>
      </c>
      <c r="F69" s="23">
        <v>-0.47094079800000005</v>
      </c>
      <c r="G69" s="23">
        <v>-0.52422621800000002</v>
      </c>
      <c r="H69" s="23">
        <v>-0.11719615200000001</v>
      </c>
      <c r="I69" s="23">
        <v>0.13443945200000001</v>
      </c>
      <c r="J69" s="23">
        <v>-6.16260166E-2</v>
      </c>
      <c r="K69" s="23">
        <v>0.47082448300000002</v>
      </c>
    </row>
    <row r="70" spans="1:45" ht="26.4">
      <c r="A70" s="9" t="s">
        <v>92</v>
      </c>
      <c r="B70" s="23">
        <v>5</v>
      </c>
      <c r="C70" s="23">
        <v>-0.10308372</v>
      </c>
      <c r="D70" s="23">
        <v>-0.38798118400000003</v>
      </c>
      <c r="E70" s="23">
        <v>-0.23344947800000002</v>
      </c>
      <c r="F70" s="23">
        <v>-0.50148941499999999</v>
      </c>
      <c r="G70" s="23">
        <v>1.06426547</v>
      </c>
      <c r="H70" s="23">
        <v>1.16079998</v>
      </c>
      <c r="I70" s="23">
        <v>-0.20331483600000003</v>
      </c>
      <c r="J70" s="23">
        <v>2.0367218299999998</v>
      </c>
      <c r="K70" s="23">
        <v>-5.9594086300000002E-2</v>
      </c>
    </row>
    <row r="71" spans="1:45" ht="39.6">
      <c r="A71" s="9" t="s">
        <v>94</v>
      </c>
      <c r="B71" s="23">
        <v>5</v>
      </c>
      <c r="C71" s="23">
        <v>2.8390433900000001E-2</v>
      </c>
      <c r="D71" s="23">
        <v>-0.31827709100000001</v>
      </c>
      <c r="E71" s="23">
        <v>-0.69710115800000005</v>
      </c>
      <c r="F71" s="23">
        <v>-0.67538154300000008</v>
      </c>
      <c r="G71" s="23">
        <v>0.9828043620000001</v>
      </c>
      <c r="H71" s="23">
        <v>0.19253653500000001</v>
      </c>
      <c r="I71" s="23">
        <v>0.92253278900000002</v>
      </c>
      <c r="J71" s="23">
        <v>2.2205187199999998</v>
      </c>
      <c r="K71" s="23">
        <v>0.66973144600000001</v>
      </c>
    </row>
    <row r="72" spans="1:45" ht="26.4">
      <c r="A72" s="9" t="s">
        <v>96</v>
      </c>
      <c r="B72" s="23">
        <v>5</v>
      </c>
      <c r="C72" s="23">
        <v>-0.80286550500000009</v>
      </c>
      <c r="D72" s="23">
        <v>0.19892728200000001</v>
      </c>
      <c r="E72" s="23">
        <v>-0.420588974</v>
      </c>
      <c r="F72" s="23">
        <v>-0.65658239400000007</v>
      </c>
      <c r="G72" s="23">
        <v>-0.68714844200000003</v>
      </c>
      <c r="H72" s="23">
        <v>-3.34846148E-2</v>
      </c>
      <c r="I72" s="23">
        <v>-0.99140817300000006</v>
      </c>
      <c r="J72" s="23">
        <v>-0.49048543</v>
      </c>
      <c r="K72" s="23">
        <v>0.51060587499999999</v>
      </c>
    </row>
    <row r="73" spans="1:45" ht="26.4">
      <c r="A73" s="9" t="s">
        <v>99</v>
      </c>
      <c r="B73" s="23">
        <v>5</v>
      </c>
      <c r="C73" s="23">
        <v>-0.382996434</v>
      </c>
      <c r="D73" s="23">
        <v>0.53490101200000006</v>
      </c>
      <c r="E73" s="23">
        <v>-0.80968111900000006</v>
      </c>
      <c r="F73" s="23">
        <v>-0.70828005400000005</v>
      </c>
      <c r="G73" s="23">
        <v>-0.89080122300000009</v>
      </c>
      <c r="H73" s="23">
        <v>3.9065384000000002E-2</v>
      </c>
      <c r="I73" s="23">
        <v>-0.99140817300000006</v>
      </c>
      <c r="J73" s="23">
        <v>-0.10757524</v>
      </c>
      <c r="K73" s="23">
        <v>0.112791949</v>
      </c>
    </row>
    <row r="74" spans="1:45">
      <c r="A74" s="24" t="s">
        <v>114</v>
      </c>
      <c r="B74" s="26"/>
      <c r="C74" s="26">
        <f>AVERAGE(C31:C73)</f>
        <v>0.12761248820511634</v>
      </c>
      <c r="D74" s="26">
        <f t="shared" ref="D74:K74" si="5">AVERAGE(D31:D73)</f>
        <v>-0.16272349086697677</v>
      </c>
      <c r="E74" s="26">
        <f t="shared" si="5"/>
        <v>-0.14083856545302326</v>
      </c>
      <c r="F74" s="26">
        <f t="shared" si="5"/>
        <v>-0.10348301436046514</v>
      </c>
      <c r="G74" s="26">
        <f t="shared" si="5"/>
        <v>-0.20217065654279071</v>
      </c>
      <c r="H74" s="26">
        <f t="shared" si="5"/>
        <v>-6.6514981024651171E-2</v>
      </c>
      <c r="I74" s="26">
        <f t="shared" si="5"/>
        <v>0.392337104939535</v>
      </c>
      <c r="J74" s="26">
        <f t="shared" si="5"/>
        <v>0.15422847245204652</v>
      </c>
      <c r="K74" s="26">
        <f t="shared" si="5"/>
        <v>0.29412108690465122</v>
      </c>
    </row>
    <row r="75" spans="1:45">
      <c r="A75" s="11"/>
      <c r="B75" s="27"/>
      <c r="C75" s="29">
        <v>1.7224429999999999</v>
      </c>
      <c r="D75" s="29">
        <v>2.1464020000000001</v>
      </c>
      <c r="E75" s="29">
        <v>1.4119710000000001</v>
      </c>
      <c r="F75" s="29">
        <v>2.0311780000000002</v>
      </c>
      <c r="G75" s="29">
        <v>1.8356110000000001</v>
      </c>
      <c r="H75" s="29">
        <v>2.1218710000000001</v>
      </c>
      <c r="I75" s="29">
        <v>2.1320239999999999</v>
      </c>
      <c r="J75" s="29">
        <v>1.2661100000000001</v>
      </c>
      <c r="K75" s="29">
        <v>1.8147500000000001</v>
      </c>
      <c r="L75" s="29">
        <v>2.8074590000000001</v>
      </c>
      <c r="M75" s="29">
        <v>2.0420229999999999</v>
      </c>
      <c r="N75" s="29">
        <v>1.748451</v>
      </c>
      <c r="O75" s="29">
        <v>1.6334960000000001</v>
      </c>
      <c r="P75" s="29">
        <v>3.025398</v>
      </c>
      <c r="Q75" s="29">
        <v>3.853888</v>
      </c>
      <c r="R75" s="29">
        <v>1.902695</v>
      </c>
      <c r="S75" s="29">
        <v>1.752545</v>
      </c>
      <c r="T75" s="29">
        <v>1.886833</v>
      </c>
      <c r="U75" s="29">
        <v>1.6833800000000001</v>
      </c>
      <c r="V75" s="29">
        <v>2.8267250000000002</v>
      </c>
      <c r="W75" s="29">
        <v>2.6473879999999999</v>
      </c>
      <c r="X75" s="29">
        <v>2.0957020000000002</v>
      </c>
      <c r="Y75" s="29">
        <v>1.819963</v>
      </c>
      <c r="Z75" s="29">
        <v>2.7019069999999998</v>
      </c>
      <c r="AA75" s="29">
        <v>3.4198010000000001</v>
      </c>
      <c r="AB75" s="29">
        <v>1.894185</v>
      </c>
      <c r="AC75" s="29">
        <v>1.692232</v>
      </c>
      <c r="AD75" s="29">
        <v>1.1228180000000001</v>
      </c>
      <c r="AE75" s="29">
        <v>1.8302480000000001</v>
      </c>
      <c r="AF75" s="29">
        <v>1.306656</v>
      </c>
      <c r="AG75" s="29">
        <v>0.87233269999999996</v>
      </c>
      <c r="AH75" s="29">
        <v>1.152676</v>
      </c>
      <c r="AI75" s="29">
        <v>1.8266450000000001</v>
      </c>
      <c r="AJ75" s="29">
        <v>2.5033650000000001</v>
      </c>
      <c r="AK75" s="29">
        <v>1.6880459999999999</v>
      </c>
      <c r="AL75" s="29">
        <v>1.8753839999999999</v>
      </c>
      <c r="AM75" s="29">
        <v>2.3156189999999999</v>
      </c>
      <c r="AN75" s="29">
        <v>1.34755</v>
      </c>
      <c r="AO75" s="29">
        <v>0.95093850000000002</v>
      </c>
      <c r="AP75" s="29">
        <v>2.7211780000000001</v>
      </c>
      <c r="AQ75" s="29">
        <v>2.6141070000000002</v>
      </c>
      <c r="AR75" s="29">
        <v>1.9985809999999999</v>
      </c>
      <c r="AS75" s="29">
        <v>2.0154559999999999</v>
      </c>
    </row>
    <row r="76" spans="1:45">
      <c r="A76" s="11"/>
      <c r="B76" s="27"/>
      <c r="C76" s="27">
        <f>C75*C75</f>
        <v>2.9668098882489997</v>
      </c>
      <c r="D76" s="27">
        <f t="shared" ref="D76:AS76" si="6">D75*D75</f>
        <v>4.6070415456040008</v>
      </c>
      <c r="E76" s="27">
        <f t="shared" si="6"/>
        <v>1.9936621048410001</v>
      </c>
      <c r="F76" s="27">
        <f t="shared" si="6"/>
        <v>4.1256840676840003</v>
      </c>
      <c r="G76" s="27">
        <f t="shared" si="6"/>
        <v>3.3694677433210005</v>
      </c>
      <c r="H76" s="27">
        <f t="shared" si="6"/>
        <v>4.5023365406410001</v>
      </c>
      <c r="I76" s="27">
        <f t="shared" si="6"/>
        <v>4.5455263365759997</v>
      </c>
      <c r="J76" s="27">
        <f t="shared" si="6"/>
        <v>1.6030345321000001</v>
      </c>
      <c r="K76" s="27">
        <f t="shared" si="6"/>
        <v>3.2933175625000004</v>
      </c>
      <c r="L76" s="27">
        <f t="shared" si="6"/>
        <v>7.8818260366810007</v>
      </c>
      <c r="M76" s="27">
        <f t="shared" si="6"/>
        <v>4.1698579325289993</v>
      </c>
      <c r="N76" s="27">
        <f t="shared" si="6"/>
        <v>3.0570808994009999</v>
      </c>
      <c r="O76" s="27">
        <f t="shared" si="6"/>
        <v>2.6683091820160003</v>
      </c>
      <c r="P76" s="27">
        <f t="shared" si="6"/>
        <v>9.1530330584040005</v>
      </c>
      <c r="Q76" s="27">
        <f t="shared" si="6"/>
        <v>14.852452716544001</v>
      </c>
      <c r="R76" s="27">
        <f t="shared" si="6"/>
        <v>3.6202482630250001</v>
      </c>
      <c r="S76" s="27">
        <f t="shared" si="6"/>
        <v>3.0714139770250002</v>
      </c>
      <c r="T76" s="27">
        <f t="shared" si="6"/>
        <v>3.5601387698889999</v>
      </c>
      <c r="U76" s="27">
        <f t="shared" si="6"/>
        <v>2.8337682244000004</v>
      </c>
      <c r="V76" s="27">
        <f t="shared" si="6"/>
        <v>7.9903742256250005</v>
      </c>
      <c r="W76" s="27">
        <f t="shared" si="6"/>
        <v>7.0086632225439995</v>
      </c>
      <c r="X76" s="27">
        <f t="shared" si="6"/>
        <v>4.3919668728040007</v>
      </c>
      <c r="Y76" s="27">
        <f t="shared" si="6"/>
        <v>3.3122653213689999</v>
      </c>
      <c r="Z76" s="27">
        <f t="shared" si="6"/>
        <v>7.3003014366489989</v>
      </c>
      <c r="AA76" s="27">
        <f t="shared" si="6"/>
        <v>11.695038879601</v>
      </c>
      <c r="AB76" s="27">
        <f t="shared" si="6"/>
        <v>3.5879368142249999</v>
      </c>
      <c r="AC76" s="27">
        <f t="shared" si="6"/>
        <v>2.8636491418239998</v>
      </c>
      <c r="AD76" s="27">
        <f t="shared" si="6"/>
        <v>1.2607202611240003</v>
      </c>
      <c r="AE76" s="27">
        <f t="shared" si="6"/>
        <v>3.3498077415040002</v>
      </c>
      <c r="AF76" s="27">
        <f t="shared" si="6"/>
        <v>1.7073499023360001</v>
      </c>
      <c r="AG76" s="27">
        <f t="shared" si="6"/>
        <v>0.76096433948928999</v>
      </c>
      <c r="AH76" s="27">
        <f t="shared" si="6"/>
        <v>1.328661960976</v>
      </c>
      <c r="AI76" s="27">
        <f t="shared" si="6"/>
        <v>3.3366319560250002</v>
      </c>
      <c r="AJ76" s="27">
        <f t="shared" si="6"/>
        <v>6.2668363232250002</v>
      </c>
      <c r="AK76" s="27">
        <f t="shared" si="6"/>
        <v>2.8494992981159997</v>
      </c>
      <c r="AL76" s="27">
        <f t="shared" si="6"/>
        <v>3.517065147456</v>
      </c>
      <c r="AM76" s="27">
        <f t="shared" si="6"/>
        <v>5.3620913531609995</v>
      </c>
      <c r="AN76" s="27">
        <f t="shared" si="6"/>
        <v>1.8158910025000001</v>
      </c>
      <c r="AO76" s="27">
        <f t="shared" si="6"/>
        <v>0.90428403078225006</v>
      </c>
      <c r="AP76" s="27">
        <f t="shared" si="6"/>
        <v>7.4048097076840005</v>
      </c>
      <c r="AQ76" s="27">
        <f t="shared" si="6"/>
        <v>6.8335554074490013</v>
      </c>
      <c r="AR76" s="27">
        <f t="shared" si="6"/>
        <v>3.9943260135609999</v>
      </c>
      <c r="AS76" s="27">
        <f t="shared" si="6"/>
        <v>4.0620628879359995</v>
      </c>
    </row>
    <row r="77" spans="1:45">
      <c r="A77" s="25" t="s">
        <v>120</v>
      </c>
      <c r="B77" s="27">
        <f>SUM(C76:AS76)</f>
        <v>188.77976262939552</v>
      </c>
      <c r="C77" s="27"/>
      <c r="D77" s="27"/>
      <c r="E77" s="27"/>
      <c r="F77" s="27"/>
      <c r="G77" s="27"/>
      <c r="H77" s="27"/>
      <c r="I77" s="27"/>
      <c r="J77" s="27"/>
      <c r="K77" s="27"/>
    </row>
    <row r="78" spans="1:45" ht="39.6">
      <c r="A78" s="9" t="s">
        <v>22</v>
      </c>
      <c r="B78" s="23">
        <v>6</v>
      </c>
      <c r="C78" s="23">
        <v>-0.16670024600000002</v>
      </c>
      <c r="D78" s="23">
        <v>1.2263656199999999</v>
      </c>
      <c r="E78" s="23">
        <v>0.89827539000000001</v>
      </c>
      <c r="F78" s="23">
        <v>0.20112877700000001</v>
      </c>
      <c r="G78" s="23">
        <v>-1.01299289</v>
      </c>
      <c r="H78" s="23">
        <v>1.18312306</v>
      </c>
      <c r="I78" s="23">
        <v>7.8147070400000004E-2</v>
      </c>
      <c r="J78" s="23">
        <v>0.78077640300000006</v>
      </c>
      <c r="K78" s="23">
        <v>-0.98782658200000006</v>
      </c>
    </row>
    <row r="79" spans="1:45" ht="39.6">
      <c r="A79" s="9" t="s">
        <v>24</v>
      </c>
      <c r="B79" s="23">
        <v>6</v>
      </c>
      <c r="C79" s="23">
        <v>-0.72652567400000001</v>
      </c>
      <c r="D79" s="23">
        <v>-0.27784871700000002</v>
      </c>
      <c r="E79" s="23">
        <v>-0.165308975</v>
      </c>
      <c r="F79" s="23">
        <v>6.013516E-2</v>
      </c>
      <c r="G79" s="23">
        <v>0.8606126930000001</v>
      </c>
      <c r="H79" s="23">
        <v>0.47436537700000003</v>
      </c>
      <c r="I79" s="23">
        <v>0.30331659500000002</v>
      </c>
      <c r="J79" s="23">
        <v>-0.55175106100000004</v>
      </c>
      <c r="K79" s="23">
        <v>-1.0408684399999999</v>
      </c>
    </row>
    <row r="80" spans="1:45" ht="39.6">
      <c r="A80" s="9" t="s">
        <v>26</v>
      </c>
      <c r="B80" s="23">
        <v>6</v>
      </c>
      <c r="C80" s="23">
        <v>-1.0573316100000001</v>
      </c>
      <c r="D80" s="23">
        <v>8.6006650700000006E-2</v>
      </c>
      <c r="E80" s="23">
        <v>-0.30603392600000001</v>
      </c>
      <c r="F80" s="23">
        <v>-0.40984356400000005</v>
      </c>
      <c r="G80" s="23">
        <v>0.24965435</v>
      </c>
      <c r="H80" s="23">
        <v>2.0313999699999998</v>
      </c>
      <c r="I80" s="23">
        <v>-9.0730073300000005E-2</v>
      </c>
      <c r="J80" s="23">
        <v>-0.23010650100000002</v>
      </c>
      <c r="K80" s="23">
        <v>-1.59780794</v>
      </c>
    </row>
    <row r="81" spans="1:11" ht="26.4">
      <c r="A81" s="9" t="s">
        <v>34</v>
      </c>
      <c r="B81" s="23">
        <v>6</v>
      </c>
      <c r="C81" s="23">
        <v>-0.77741889400000008</v>
      </c>
      <c r="D81" s="23">
        <v>-0.66122122999999999</v>
      </c>
      <c r="E81" s="23">
        <v>-0.161852573</v>
      </c>
      <c r="F81" s="23">
        <v>-0.139605798</v>
      </c>
      <c r="G81" s="23">
        <v>-0.56495677399999999</v>
      </c>
      <c r="H81" s="23">
        <v>0.53296345300000003</v>
      </c>
      <c r="I81" s="23">
        <v>0.86624040700000005</v>
      </c>
      <c r="J81" s="23">
        <v>-0.24542290800000002</v>
      </c>
      <c r="K81" s="23">
        <v>0.192354734</v>
      </c>
    </row>
    <row r="82" spans="1:11" ht="39.6">
      <c r="A82" s="9" t="s">
        <v>38</v>
      </c>
      <c r="B82" s="23">
        <v>6</v>
      </c>
      <c r="C82" s="23">
        <v>-0.21759346600000001</v>
      </c>
      <c r="D82" s="23">
        <v>0.67012695300000003</v>
      </c>
      <c r="E82" s="23">
        <v>3.1982642399999999</v>
      </c>
      <c r="F82" s="23">
        <v>-0.62368388400000008</v>
      </c>
      <c r="G82" s="23">
        <v>-0.76860955500000006</v>
      </c>
      <c r="H82" s="23">
        <v>1.1217345999999999</v>
      </c>
      <c r="I82" s="23">
        <v>-9.0730073300000005E-2</v>
      </c>
      <c r="J82" s="23">
        <v>-0.53643465300000004</v>
      </c>
      <c r="K82" s="23">
        <v>-0.37784522800000003</v>
      </c>
    </row>
    <row r="83" spans="1:11" ht="26.4">
      <c r="A83" s="9" t="s">
        <v>39</v>
      </c>
      <c r="B83" s="23">
        <v>6</v>
      </c>
      <c r="C83" s="23">
        <v>-1.2821100000000001</v>
      </c>
      <c r="D83" s="23">
        <v>2.24962171</v>
      </c>
      <c r="E83" s="23">
        <v>1.73126834</v>
      </c>
      <c r="F83" s="23">
        <v>-0.69888047900000005</v>
      </c>
      <c r="G83" s="23">
        <v>4.6001569400000004E-2</v>
      </c>
      <c r="H83" s="23">
        <v>0.52180191399999998</v>
      </c>
      <c r="I83" s="23">
        <v>-1.4417472199999999</v>
      </c>
      <c r="J83" s="23">
        <v>0.48976465800000002</v>
      </c>
      <c r="K83" s="23">
        <v>-2.9503752900000002</v>
      </c>
    </row>
    <row r="84" spans="1:11" ht="39.6">
      <c r="A84" s="11" t="s">
        <v>40</v>
      </c>
      <c r="B84" s="23">
        <v>6</v>
      </c>
      <c r="C84" s="23">
        <v>2.2337633299999999</v>
      </c>
      <c r="D84" s="23">
        <v>-0.39076934800000002</v>
      </c>
      <c r="E84" s="23">
        <v>2.52377202</v>
      </c>
      <c r="F84" s="23">
        <v>-0.73436387300000006</v>
      </c>
      <c r="G84" s="23">
        <v>-0.15765121200000001</v>
      </c>
      <c r="H84" s="23">
        <v>-1.67981151</v>
      </c>
      <c r="I84" s="23">
        <v>-2.0609634200000002</v>
      </c>
      <c r="J84" s="23">
        <v>-2.15997386</v>
      </c>
      <c r="K84" s="23">
        <v>-0.523710334</v>
      </c>
    </row>
    <row r="85" spans="1:11" ht="92.4">
      <c r="A85" s="9" t="s">
        <v>41</v>
      </c>
      <c r="B85" s="23">
        <v>6</v>
      </c>
      <c r="C85" s="23">
        <v>-0.70532016500000005</v>
      </c>
      <c r="D85" s="23">
        <v>1.9666230900000001</v>
      </c>
      <c r="E85" s="23">
        <v>1.24045922</v>
      </c>
      <c r="F85" s="23">
        <v>-0.66833186200000005</v>
      </c>
      <c r="G85" s="23">
        <v>-0.15765121200000001</v>
      </c>
      <c r="H85" s="23">
        <v>-0.65015960500000003</v>
      </c>
      <c r="I85" s="23">
        <v>-1.1602853200000001</v>
      </c>
      <c r="J85" s="23">
        <v>-1.36352067</v>
      </c>
      <c r="K85" s="23">
        <v>-0.55023126300000003</v>
      </c>
    </row>
    <row r="86" spans="1:11" ht="39.6">
      <c r="A86" s="9" t="s">
        <v>42</v>
      </c>
      <c r="B86" s="23">
        <v>6</v>
      </c>
      <c r="C86" s="23">
        <v>0.20651670600000002</v>
      </c>
      <c r="D86" s="23">
        <v>0.51538386600000008</v>
      </c>
      <c r="E86" s="23">
        <v>1.2162644</v>
      </c>
      <c r="F86" s="23">
        <v>-0.47564058600000003</v>
      </c>
      <c r="G86" s="23">
        <v>-0.850070667</v>
      </c>
      <c r="H86" s="23">
        <v>0.47436537700000003</v>
      </c>
      <c r="I86" s="23">
        <v>-0.76623864800000008</v>
      </c>
      <c r="J86" s="23">
        <v>-1.13377455</v>
      </c>
      <c r="K86" s="23">
        <v>-0.37784522800000003</v>
      </c>
    </row>
    <row r="87" spans="1:11" ht="39.6">
      <c r="A87" s="9" t="s">
        <v>45</v>
      </c>
      <c r="B87" s="23">
        <v>6</v>
      </c>
      <c r="C87" s="23">
        <v>-1.15487695</v>
      </c>
      <c r="D87" s="23">
        <v>0.441497527</v>
      </c>
      <c r="E87" s="23">
        <v>0.39808459999999996</v>
      </c>
      <c r="F87" s="23">
        <v>-0.682431224</v>
      </c>
      <c r="G87" s="23">
        <v>0.29038490700000003</v>
      </c>
      <c r="H87" s="23">
        <v>-9.7663459899999999E-2</v>
      </c>
      <c r="I87" s="23">
        <v>0.52848612000000006</v>
      </c>
      <c r="J87" s="23">
        <v>-3.1555403599999998</v>
      </c>
      <c r="K87" s="23">
        <v>-0.53697079800000003</v>
      </c>
    </row>
    <row r="88" spans="1:11" ht="26.4">
      <c r="A88" s="9" t="s">
        <v>47</v>
      </c>
      <c r="B88" s="23">
        <v>6</v>
      </c>
      <c r="C88" s="23">
        <v>-0.87496423400000001</v>
      </c>
      <c r="D88" s="23">
        <v>0.33136505900000002</v>
      </c>
      <c r="E88" s="23">
        <v>-0.54551322800000002</v>
      </c>
      <c r="F88" s="23">
        <v>3.73771315E-3</v>
      </c>
      <c r="G88" s="23">
        <v>2.2047210499999998</v>
      </c>
      <c r="H88" s="23">
        <v>0.93198844600000008</v>
      </c>
      <c r="I88" s="23">
        <v>-1.6669167499999999</v>
      </c>
      <c r="J88" s="23">
        <v>-0.79681358300000005</v>
      </c>
      <c r="K88" s="23">
        <v>-1.0673893699999999</v>
      </c>
    </row>
    <row r="89" spans="1:11" ht="39.6">
      <c r="A89" s="9" t="s">
        <v>49</v>
      </c>
      <c r="B89" s="23">
        <v>6</v>
      </c>
      <c r="C89" s="23">
        <v>1.20317561</v>
      </c>
      <c r="D89" s="23">
        <v>-0.668191639</v>
      </c>
      <c r="E89" s="23">
        <v>-1.10495663</v>
      </c>
      <c r="F89" s="23">
        <v>0.61471005500000009</v>
      </c>
      <c r="G89" s="23">
        <v>-0.60568732999999997</v>
      </c>
      <c r="H89" s="23">
        <v>-0.32089422500000003</v>
      </c>
      <c r="I89" s="23">
        <v>-1.94837865</v>
      </c>
      <c r="J89" s="23">
        <v>0.41318262</v>
      </c>
      <c r="K89" s="23">
        <v>-1.2928172600000001</v>
      </c>
    </row>
    <row r="90" spans="1:11" ht="26.4">
      <c r="A90" s="9" t="s">
        <v>71</v>
      </c>
      <c r="B90" s="23">
        <v>6</v>
      </c>
      <c r="C90" s="23">
        <v>-1.08277822</v>
      </c>
      <c r="D90" s="23">
        <v>0.22820300100000002</v>
      </c>
      <c r="E90" s="23">
        <v>0.14477968800000002</v>
      </c>
      <c r="F90" s="23">
        <v>-0.46389111700000002</v>
      </c>
      <c r="G90" s="23">
        <v>-0.15765121200000001</v>
      </c>
      <c r="H90" s="23">
        <v>1.14405767</v>
      </c>
      <c r="I90" s="23">
        <v>0.69736326400000004</v>
      </c>
      <c r="J90" s="23">
        <v>-0.58238387600000008</v>
      </c>
      <c r="K90" s="23">
        <v>-0.112635943</v>
      </c>
    </row>
    <row r="91" spans="1:11" ht="39.6">
      <c r="A91" s="9" t="s">
        <v>72</v>
      </c>
      <c r="B91" s="23">
        <v>6</v>
      </c>
      <c r="C91" s="23">
        <v>-0.72228457200000007</v>
      </c>
      <c r="D91" s="23">
        <v>0.13898176200000001</v>
      </c>
      <c r="E91" s="23">
        <v>0.66373380500000001</v>
      </c>
      <c r="F91" s="23">
        <v>8.4375003899999999E-3</v>
      </c>
      <c r="G91" s="23">
        <v>0.534768244</v>
      </c>
      <c r="H91" s="23">
        <v>1.4175153599999999</v>
      </c>
      <c r="I91" s="23">
        <v>-0.20331483600000003</v>
      </c>
      <c r="J91" s="23">
        <v>0.10685446700000001</v>
      </c>
      <c r="K91" s="23">
        <v>0.139312877</v>
      </c>
    </row>
    <row r="92" spans="1:11" ht="79.2">
      <c r="A92" s="12" t="s">
        <v>81</v>
      </c>
      <c r="B92" s="23">
        <v>6</v>
      </c>
      <c r="C92" s="23">
        <v>-1.40205834E-2</v>
      </c>
      <c r="D92" s="23">
        <v>-0.33500607300000002</v>
      </c>
      <c r="E92" s="23">
        <v>3.03186315</v>
      </c>
      <c r="F92" s="23">
        <v>-0.730134065</v>
      </c>
      <c r="G92" s="23">
        <v>-0.72787899900000008</v>
      </c>
      <c r="H92" s="23">
        <v>-1.1524288300000001</v>
      </c>
      <c r="I92" s="23">
        <v>-1.38545484</v>
      </c>
      <c r="J92" s="23">
        <v>-0.383270577</v>
      </c>
      <c r="K92" s="23">
        <v>1.0410244399999999</v>
      </c>
    </row>
    <row r="93" spans="1:11" ht="92.4">
      <c r="A93" s="12" t="s">
        <v>82</v>
      </c>
      <c r="B93" s="23">
        <v>6</v>
      </c>
      <c r="C93" s="23">
        <v>0.60942137100000005</v>
      </c>
      <c r="D93" s="23">
        <v>-0.18444523200000001</v>
      </c>
      <c r="E93" s="23">
        <v>-0.44182115900000002</v>
      </c>
      <c r="F93" s="23">
        <v>-0.52028856400000001</v>
      </c>
      <c r="G93" s="23">
        <v>2.6934877200000003</v>
      </c>
      <c r="H93" s="23">
        <v>2.0844172699999999</v>
      </c>
      <c r="I93" s="23">
        <v>-1.7232091299999999</v>
      </c>
      <c r="J93" s="23">
        <v>-0.32200494600000001</v>
      </c>
      <c r="K93" s="23">
        <v>-0.29828244200000004</v>
      </c>
    </row>
    <row r="94" spans="1:11" ht="39.6">
      <c r="A94" s="9" t="s">
        <v>83</v>
      </c>
      <c r="B94" s="23">
        <v>6</v>
      </c>
      <c r="C94" s="23">
        <v>0.44401840300000001</v>
      </c>
      <c r="D94" s="23">
        <v>0.59902877799999998</v>
      </c>
      <c r="E94" s="23">
        <v>0.615837945</v>
      </c>
      <c r="F94" s="23">
        <v>-0.149005372</v>
      </c>
      <c r="G94" s="23">
        <v>-3.5459543000000003E-2</v>
      </c>
      <c r="H94" s="23">
        <v>9.7663459899999999E-2</v>
      </c>
      <c r="I94" s="23">
        <v>-0.48477674200000004</v>
      </c>
      <c r="J94" s="23">
        <v>0.36723339700000002</v>
      </c>
      <c r="K94" s="23">
        <v>0.52386633999999999</v>
      </c>
    </row>
    <row r="95" spans="1:11" ht="26.4">
      <c r="A95" s="9" t="s">
        <v>84</v>
      </c>
      <c r="B95" s="23">
        <v>6</v>
      </c>
      <c r="C95" s="23">
        <v>0.26165102900000003</v>
      </c>
      <c r="D95" s="23">
        <v>0.33554730500000002</v>
      </c>
      <c r="E95" s="23">
        <v>0.46326247200000004</v>
      </c>
      <c r="F95" s="23">
        <v>-0.62133399</v>
      </c>
      <c r="G95" s="23">
        <v>-0.72787899900000008</v>
      </c>
      <c r="H95" s="23">
        <v>1.86118651</v>
      </c>
      <c r="I95" s="23">
        <v>-0.259607217</v>
      </c>
      <c r="J95" s="23">
        <v>3.0272429200000003E-2</v>
      </c>
      <c r="K95" s="23">
        <v>-1.2530358699999999</v>
      </c>
    </row>
    <row r="96" spans="1:11" ht="26.4">
      <c r="A96" s="9" t="s">
        <v>85</v>
      </c>
      <c r="B96" s="23">
        <v>6</v>
      </c>
      <c r="C96" s="23">
        <v>-1.3287621199999999</v>
      </c>
      <c r="D96" s="23">
        <v>2.3617386899999998E-3</v>
      </c>
      <c r="E96" s="23">
        <v>-0.91880467700000001</v>
      </c>
      <c r="F96" s="23">
        <v>-0.68948090500000003</v>
      </c>
      <c r="G96" s="23">
        <v>-0.52422621800000002</v>
      </c>
      <c r="H96" s="23">
        <v>1.4286768999999999</v>
      </c>
      <c r="I96" s="23">
        <v>-0.147022454</v>
      </c>
      <c r="J96" s="23">
        <v>-0.41390339200000004</v>
      </c>
      <c r="K96" s="23">
        <v>-0.25850105000000001</v>
      </c>
    </row>
    <row r="97" spans="1:31" ht="26.4">
      <c r="A97" s="9" t="s">
        <v>87</v>
      </c>
      <c r="B97" s="23">
        <v>6</v>
      </c>
      <c r="C97" s="23">
        <v>-0.89616974300000007</v>
      </c>
      <c r="D97" s="23">
        <v>0.56557081300000001</v>
      </c>
      <c r="E97" s="23">
        <v>1.1970073000000001</v>
      </c>
      <c r="F97" s="23">
        <v>-0.28529920200000003</v>
      </c>
      <c r="G97" s="23">
        <v>-0.68714844200000003</v>
      </c>
      <c r="H97" s="23">
        <v>0.11719615200000001</v>
      </c>
      <c r="I97" s="23">
        <v>-0.37219197900000001</v>
      </c>
      <c r="J97" s="23">
        <v>0.55103028900000006</v>
      </c>
      <c r="K97" s="23">
        <v>-4.6333622000000005E-2</v>
      </c>
    </row>
    <row r="98" spans="1:31" ht="26.4">
      <c r="A98" s="9" t="s">
        <v>88</v>
      </c>
      <c r="B98" s="23">
        <v>6</v>
      </c>
      <c r="C98" s="23">
        <v>0.21499891000000002</v>
      </c>
      <c r="D98" s="23">
        <v>0.30905974899999999</v>
      </c>
      <c r="E98" s="23">
        <v>0.193169321</v>
      </c>
      <c r="F98" s="23">
        <v>-0.71062994800000001</v>
      </c>
      <c r="G98" s="23">
        <v>0.12746268200000002</v>
      </c>
      <c r="H98" s="23">
        <v>0.29019999500000004</v>
      </c>
      <c r="I98" s="23">
        <v>-9.0730073300000005E-2</v>
      </c>
      <c r="J98" s="23">
        <v>7.6221652100000009E-2</v>
      </c>
      <c r="K98" s="23">
        <v>0.21887566200000003</v>
      </c>
    </row>
    <row r="99" spans="1:31" ht="26.4">
      <c r="A99" s="9" t="s">
        <v>89</v>
      </c>
      <c r="B99" s="23">
        <v>6</v>
      </c>
      <c r="C99" s="23">
        <v>-0.57808711300000004</v>
      </c>
      <c r="D99" s="23">
        <v>8.3218487000000008E-2</v>
      </c>
      <c r="E99" s="23">
        <v>0.66867152299999999</v>
      </c>
      <c r="F99" s="23">
        <v>-0.661282182</v>
      </c>
      <c r="G99" s="23">
        <v>0.331115463</v>
      </c>
      <c r="H99" s="23">
        <v>-6.4178845100000007E-2</v>
      </c>
      <c r="I99" s="23">
        <v>-0.42848436100000004</v>
      </c>
      <c r="J99" s="23">
        <v>0.58166310399999999</v>
      </c>
      <c r="K99" s="23">
        <v>8.6271020200000006E-2</v>
      </c>
    </row>
    <row r="100" spans="1:31" ht="26.4">
      <c r="A100" s="9" t="s">
        <v>93</v>
      </c>
      <c r="B100" s="23">
        <v>6</v>
      </c>
      <c r="C100" s="23">
        <v>-1.2524222899999999</v>
      </c>
      <c r="D100" s="23">
        <v>-0.64867449300000002</v>
      </c>
      <c r="E100" s="23">
        <v>-0.14506433300000002</v>
      </c>
      <c r="F100" s="23">
        <v>-0.67773143700000005</v>
      </c>
      <c r="G100" s="23">
        <v>-0.15765121200000001</v>
      </c>
      <c r="H100" s="23">
        <v>-1.5933095900000001</v>
      </c>
      <c r="I100" s="23">
        <v>-0.147022454</v>
      </c>
      <c r="J100" s="23">
        <v>1.4956021600000001E-2</v>
      </c>
      <c r="K100" s="23">
        <v>-3.9183891800000001</v>
      </c>
    </row>
    <row r="101" spans="1:31" ht="39.6">
      <c r="A101" s="9" t="s">
        <v>95</v>
      </c>
      <c r="B101" s="23">
        <v>6</v>
      </c>
      <c r="C101" s="23">
        <v>-0.34906762000000002</v>
      </c>
      <c r="D101" s="23">
        <v>-4.2248881100000003E-2</v>
      </c>
      <c r="E101" s="23">
        <v>1.3485952299999999</v>
      </c>
      <c r="F101" s="23">
        <v>-0.72919410700000009</v>
      </c>
      <c r="G101" s="23">
        <v>-1.25737623</v>
      </c>
      <c r="H101" s="23">
        <v>-0.74503268</v>
      </c>
      <c r="I101" s="23">
        <v>-1.1039929399999999</v>
      </c>
      <c r="J101" s="23">
        <v>-0.58238387600000008</v>
      </c>
      <c r="K101" s="23">
        <v>0.152573341</v>
      </c>
    </row>
    <row r="102" spans="1:31" ht="26.4">
      <c r="A102" s="9" t="s">
        <v>97</v>
      </c>
      <c r="B102" s="23">
        <v>6</v>
      </c>
      <c r="C102" s="23">
        <v>-1.45175407</v>
      </c>
      <c r="D102" s="23">
        <v>0.71473757300000007</v>
      </c>
      <c r="E102" s="23">
        <v>4.1581391000000002E-2</v>
      </c>
      <c r="F102" s="23">
        <v>-0.72848913900000001</v>
      </c>
      <c r="G102" s="23">
        <v>2.6527571700000001</v>
      </c>
      <c r="H102" s="23">
        <v>1.1384768999999999</v>
      </c>
      <c r="I102" s="23">
        <v>0.415901358</v>
      </c>
      <c r="J102" s="23">
        <v>-0.90402843700000002</v>
      </c>
      <c r="K102" s="23">
        <v>-0.90826379700000004</v>
      </c>
    </row>
    <row r="103" spans="1:31" ht="26.4">
      <c r="A103" s="9" t="s">
        <v>98</v>
      </c>
      <c r="B103" s="23">
        <v>6</v>
      </c>
      <c r="C103" s="23">
        <v>-0.74349008100000002</v>
      </c>
      <c r="D103" s="23">
        <v>-0.44792670400000001</v>
      </c>
      <c r="E103" s="23">
        <v>6.6269978899999998E-2</v>
      </c>
      <c r="F103" s="23">
        <v>-0.51793867100000002</v>
      </c>
      <c r="G103" s="23">
        <v>-0.48349566100000002</v>
      </c>
      <c r="H103" s="23">
        <v>0.91803652300000005</v>
      </c>
      <c r="I103" s="23">
        <v>-0.59736150399999999</v>
      </c>
      <c r="J103" s="23">
        <v>-0.505801838</v>
      </c>
      <c r="K103" s="23">
        <v>0.98798258700000008</v>
      </c>
    </row>
    <row r="104" spans="1:31" ht="26.4">
      <c r="A104" s="9" t="s">
        <v>100</v>
      </c>
      <c r="B104" s="23">
        <v>6</v>
      </c>
      <c r="C104" s="23">
        <v>-0.66715024900000008</v>
      </c>
      <c r="D104" s="23">
        <v>0.18219829999999998</v>
      </c>
      <c r="E104" s="23">
        <v>0.208476245</v>
      </c>
      <c r="F104" s="23">
        <v>-0.651882607</v>
      </c>
      <c r="G104" s="23">
        <v>-0.36130399300000005</v>
      </c>
      <c r="H104" s="23">
        <v>1.42588651</v>
      </c>
      <c r="I104" s="23">
        <v>-1.1602853200000001</v>
      </c>
      <c r="J104" s="23">
        <v>-0.23010650100000002</v>
      </c>
      <c r="K104" s="23">
        <v>0.56364773200000007</v>
      </c>
    </row>
    <row r="105" spans="1:31" ht="39.6">
      <c r="A105" s="9" t="s">
        <v>102</v>
      </c>
      <c r="B105" s="23">
        <v>6</v>
      </c>
      <c r="C105" s="23">
        <v>-1.7740777999999999</v>
      </c>
      <c r="D105" s="23">
        <v>-0.109164811</v>
      </c>
      <c r="E105" s="23">
        <v>2.1830520799999999E-2</v>
      </c>
      <c r="F105" s="23">
        <v>-0.661282182</v>
      </c>
      <c r="G105" s="23">
        <v>2.2861821600000001</v>
      </c>
      <c r="H105" s="23">
        <v>-0.42971922400000001</v>
      </c>
      <c r="I105" s="23">
        <v>-0.59736150399999999</v>
      </c>
      <c r="J105" s="23">
        <v>-1.1490909600000001</v>
      </c>
      <c r="K105" s="23">
        <v>-0.53697079800000003</v>
      </c>
    </row>
    <row r="106" spans="1:31" ht="66">
      <c r="A106" s="9" t="s">
        <v>103</v>
      </c>
      <c r="B106" s="23">
        <v>6</v>
      </c>
      <c r="C106" s="23">
        <v>-0.78590109800000008</v>
      </c>
      <c r="D106" s="23">
        <v>9.1582978199999998E-2</v>
      </c>
      <c r="E106" s="23">
        <v>-0.72969009400000007</v>
      </c>
      <c r="F106" s="23">
        <v>-0.57198622399999999</v>
      </c>
      <c r="G106" s="23">
        <v>-0.48349566100000002</v>
      </c>
      <c r="H106" s="23">
        <v>1.28915767</v>
      </c>
      <c r="I106" s="23">
        <v>-1.7232091299999999</v>
      </c>
      <c r="J106" s="23">
        <v>1.83760853</v>
      </c>
      <c r="K106" s="23">
        <v>-1.1999940099999999</v>
      </c>
    </row>
    <row r="107" spans="1:31">
      <c r="A107" s="24" t="s">
        <v>114</v>
      </c>
      <c r="B107" s="28"/>
      <c r="C107" s="28">
        <f>AVERAGE(C78:C106)</f>
        <v>-0.46328487722068962</v>
      </c>
      <c r="D107" s="28">
        <f t="shared" ref="D107:K107" si="7">AVERAGE(D78:D106)</f>
        <v>0.24041323560310351</v>
      </c>
      <c r="E107" s="28">
        <f t="shared" si="7"/>
        <v>0.52939383395517214</v>
      </c>
      <c r="F107" s="28">
        <f t="shared" si="7"/>
        <v>-0.44532695780896553</v>
      </c>
      <c r="G107" s="28">
        <f t="shared" si="7"/>
        <v>8.8136627531034489E-2</v>
      </c>
      <c r="H107" s="28">
        <f t="shared" si="7"/>
        <v>0.47417293613448264</v>
      </c>
      <c r="I107" s="28">
        <f t="shared" si="7"/>
        <v>-0.5779503387758621</v>
      </c>
      <c r="J107" s="28">
        <f t="shared" si="7"/>
        <v>-0.34471548200344831</v>
      </c>
      <c r="K107" s="28">
        <f t="shared" si="7"/>
        <v>-0.5493167486827587</v>
      </c>
    </row>
    <row r="108" spans="1:31">
      <c r="A108" s="22"/>
      <c r="B108" s="22"/>
      <c r="C108" s="29">
        <v>2.2844310000000001</v>
      </c>
      <c r="D108" s="29">
        <v>1.6534310000000001</v>
      </c>
      <c r="E108" s="29">
        <v>2.2083539999999999</v>
      </c>
      <c r="F108" s="29">
        <v>2.1350699999999998</v>
      </c>
      <c r="G108" s="29">
        <v>2.9760019999999998</v>
      </c>
      <c r="H108" s="29">
        <v>3.6643979999999998</v>
      </c>
      <c r="I108" s="29">
        <v>4.6828149999999997</v>
      </c>
      <c r="J108" s="29">
        <v>2.5090520000000001</v>
      </c>
      <c r="K108" s="29">
        <v>1.6014539999999999</v>
      </c>
      <c r="L108" s="29">
        <v>3.1757179999999998</v>
      </c>
      <c r="M108" s="29">
        <v>2.8076680000000001</v>
      </c>
      <c r="N108" s="29">
        <v>3.3935580000000001</v>
      </c>
      <c r="O108" s="29">
        <v>1.7073229999999999</v>
      </c>
      <c r="P108" s="29">
        <v>1.4863280000000001</v>
      </c>
      <c r="Q108" s="29">
        <v>3.6566190000000001</v>
      </c>
      <c r="R108" s="29">
        <v>3.6105369999999999</v>
      </c>
      <c r="S108" s="29">
        <v>1.6945190000000001</v>
      </c>
      <c r="T108" s="29">
        <v>1.974032</v>
      </c>
      <c r="U108" s="29">
        <v>2.1269070000000001</v>
      </c>
      <c r="V108" s="29">
        <v>1.6095410000000001</v>
      </c>
      <c r="W108" s="29">
        <v>1.299345</v>
      </c>
      <c r="X108" s="29">
        <v>1.318057</v>
      </c>
      <c r="Y108" s="29">
        <v>4.2335240000000001</v>
      </c>
      <c r="Z108" s="29">
        <v>2.2287530000000002</v>
      </c>
      <c r="AA108" s="29">
        <v>3.1572439999999999</v>
      </c>
      <c r="AB108" s="29">
        <v>1.919759</v>
      </c>
      <c r="AC108" s="29">
        <v>1.699794</v>
      </c>
      <c r="AD108" s="29">
        <v>2.9052730000000002</v>
      </c>
      <c r="AE108" s="29">
        <v>3.0357980000000002</v>
      </c>
    </row>
    <row r="109" spans="1:31">
      <c r="A109" s="22"/>
      <c r="B109" s="22"/>
      <c r="C109" s="22">
        <f>C108*C108</f>
        <v>5.2186249937610008</v>
      </c>
      <c r="D109" s="22">
        <f t="shared" ref="D109:AE109" si="8">D108*D108</f>
        <v>2.7338340717610001</v>
      </c>
      <c r="E109" s="22">
        <f t="shared" si="8"/>
        <v>4.8768273893159995</v>
      </c>
      <c r="F109" s="22">
        <f t="shared" si="8"/>
        <v>4.5585239048999995</v>
      </c>
      <c r="G109" s="22">
        <f t="shared" si="8"/>
        <v>8.8565879040039981</v>
      </c>
      <c r="H109" s="22">
        <f t="shared" si="8"/>
        <v>13.427812702403999</v>
      </c>
      <c r="I109" s="22">
        <f t="shared" si="8"/>
        <v>21.928756324224999</v>
      </c>
      <c r="J109" s="22">
        <f t="shared" si="8"/>
        <v>6.2953419387040004</v>
      </c>
      <c r="K109" s="22">
        <f t="shared" si="8"/>
        <v>2.5646549141159998</v>
      </c>
      <c r="L109" s="22">
        <f t="shared" si="8"/>
        <v>10.085184815523998</v>
      </c>
      <c r="M109" s="22">
        <f t="shared" si="8"/>
        <v>7.882999598224</v>
      </c>
      <c r="N109" s="22">
        <f t="shared" si="8"/>
        <v>11.516235899364</v>
      </c>
      <c r="O109" s="22">
        <f t="shared" si="8"/>
        <v>2.9149518263289997</v>
      </c>
      <c r="P109" s="22">
        <f t="shared" si="8"/>
        <v>2.2091709235840002</v>
      </c>
      <c r="Q109" s="22">
        <f t="shared" si="8"/>
        <v>13.370862511161</v>
      </c>
      <c r="R109" s="22">
        <f t="shared" si="8"/>
        <v>13.035977428369</v>
      </c>
      <c r="S109" s="22">
        <f t="shared" si="8"/>
        <v>2.8713946413610003</v>
      </c>
      <c r="T109" s="22">
        <f t="shared" si="8"/>
        <v>3.8968023370239999</v>
      </c>
      <c r="U109" s="22">
        <f t="shared" si="8"/>
        <v>4.5237333866490008</v>
      </c>
      <c r="V109" s="22">
        <f t="shared" si="8"/>
        <v>2.5906222306810003</v>
      </c>
      <c r="W109" s="22">
        <f t="shared" si="8"/>
        <v>1.6882974290249999</v>
      </c>
      <c r="X109" s="22">
        <f t="shared" si="8"/>
        <v>1.7372742552490001</v>
      </c>
      <c r="Y109" s="22">
        <f t="shared" si="8"/>
        <v>17.922725458576</v>
      </c>
      <c r="Z109" s="22">
        <f t="shared" si="8"/>
        <v>4.9673399350090008</v>
      </c>
      <c r="AA109" s="22">
        <f t="shared" si="8"/>
        <v>9.9681896755359993</v>
      </c>
      <c r="AB109" s="22">
        <f t="shared" si="8"/>
        <v>3.6854746180809999</v>
      </c>
      <c r="AC109" s="22">
        <f t="shared" si="8"/>
        <v>2.8892996424360002</v>
      </c>
      <c r="AD109" s="22">
        <f t="shared" si="8"/>
        <v>8.4406112045290005</v>
      </c>
      <c r="AE109" s="22">
        <f t="shared" si="8"/>
        <v>9.2160694968040016</v>
      </c>
    </row>
    <row r="110" spans="1:31">
      <c r="A110" s="25" t="s">
        <v>119</v>
      </c>
      <c r="B110" s="22">
        <f>SUM(C109:AE109)</f>
        <v>205.87418145670603</v>
      </c>
      <c r="C110" s="22"/>
      <c r="D110" s="22"/>
      <c r="E110" s="22"/>
      <c r="F110" s="22"/>
      <c r="G110" s="22"/>
      <c r="H110" s="22"/>
      <c r="I110" s="22"/>
      <c r="J110" s="22"/>
      <c r="K110" s="22"/>
    </row>
    <row r="112" spans="1:31">
      <c r="A112" s="25" t="s">
        <v>115</v>
      </c>
      <c r="B112" s="6">
        <f>B110+B77+B30+B23+B12+B6</f>
        <v>461.46107460466459</v>
      </c>
    </row>
  </sheetData>
  <sortState xmlns:xlrd2="http://schemas.microsoft.com/office/spreadsheetml/2017/richdata2" ref="A2:K106">
    <sortCondition ref="B2:B10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443F-062C-4573-B9B0-8C3648A57EBD}">
  <dimension ref="A1:BR113"/>
  <sheetViews>
    <sheetView topLeftCell="A102" workbookViewId="0">
      <selection activeCell="A94" sqref="A94:A106"/>
    </sheetView>
  </sheetViews>
  <sheetFormatPr defaultRowHeight="14.4"/>
  <sheetData>
    <row r="1" spans="1:11">
      <c r="A1" s="8" t="s">
        <v>105</v>
      </c>
      <c r="B1" s="8" t="s">
        <v>106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</row>
    <row r="2" spans="1:11" ht="52.8">
      <c r="A2" s="9" t="s">
        <v>50</v>
      </c>
      <c r="B2" s="34">
        <v>1</v>
      </c>
      <c r="C2" s="34">
        <v>0.668796795</v>
      </c>
      <c r="D2" s="34">
        <v>-0.29457769900000003</v>
      </c>
      <c r="E2" s="34">
        <v>-0.90053512200000008</v>
      </c>
      <c r="F2" s="34">
        <v>-0.61663420300000005</v>
      </c>
      <c r="G2" s="34">
        <v>-0.40203454900000002</v>
      </c>
      <c r="H2" s="34">
        <v>3.4377537899999999</v>
      </c>
      <c r="I2" s="34">
        <v>1.4291642200000001</v>
      </c>
      <c r="J2" s="34">
        <v>-0.260739316</v>
      </c>
      <c r="K2" s="34">
        <v>-7.2854550500000004E-2</v>
      </c>
    </row>
    <row r="3" spans="1:11">
      <c r="A3" s="9"/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1:11">
      <c r="A4" s="9"/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1:11">
      <c r="A5" s="9"/>
      <c r="B5" s="34"/>
      <c r="C5" s="34"/>
      <c r="D5" s="34"/>
      <c r="E5" s="34"/>
      <c r="F5" s="34"/>
      <c r="G5" s="34"/>
      <c r="H5" s="34"/>
      <c r="I5" s="34"/>
      <c r="J5" s="34"/>
      <c r="K5" s="34"/>
    </row>
    <row r="6" spans="1:11">
      <c r="A6" s="40" t="s">
        <v>116</v>
      </c>
      <c r="B6" s="41">
        <v>0</v>
      </c>
      <c r="C6" s="34"/>
      <c r="D6" s="34"/>
      <c r="E6" s="34"/>
      <c r="F6" s="34"/>
      <c r="G6" s="34"/>
      <c r="H6" s="34"/>
      <c r="I6" s="34"/>
      <c r="J6" s="34"/>
      <c r="K6" s="34"/>
    </row>
    <row r="7" spans="1:11" ht="66">
      <c r="A7" s="9" t="s">
        <v>61</v>
      </c>
      <c r="B7" s="34">
        <v>2</v>
      </c>
      <c r="C7" s="34">
        <v>-0.71804347000000002</v>
      </c>
      <c r="D7" s="34">
        <v>-0.29736586300000001</v>
      </c>
      <c r="E7" s="34">
        <v>-0.91682958999999997</v>
      </c>
      <c r="F7" s="34">
        <v>0.93664548100000011</v>
      </c>
      <c r="G7" s="34">
        <v>4.32270997</v>
      </c>
      <c r="H7" s="34">
        <v>0.97105383000000001</v>
      </c>
      <c r="I7" s="34">
        <v>1.2602870799999999</v>
      </c>
      <c r="J7" s="34">
        <v>3.1854524</v>
      </c>
      <c r="K7" s="34">
        <v>-1.2530358699999999</v>
      </c>
    </row>
    <row r="8" spans="1:11">
      <c r="A8" s="9"/>
      <c r="B8" s="34"/>
      <c r="C8" s="34"/>
      <c r="D8" s="34"/>
      <c r="E8" s="34"/>
      <c r="F8" s="34"/>
      <c r="G8" s="34"/>
      <c r="H8" s="34"/>
      <c r="I8" s="34"/>
      <c r="J8" s="34"/>
      <c r="K8" s="34"/>
    </row>
    <row r="9" spans="1:11">
      <c r="A9" s="9"/>
      <c r="B9" s="34"/>
      <c r="C9" s="34"/>
      <c r="D9" s="34"/>
      <c r="E9" s="34"/>
      <c r="F9" s="34"/>
      <c r="G9" s="34"/>
      <c r="H9" s="34"/>
      <c r="I9" s="34"/>
      <c r="J9" s="34"/>
      <c r="K9" s="34"/>
    </row>
    <row r="10" spans="1:11">
      <c r="A10" s="9"/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spans="1:11">
      <c r="A11" s="40" t="s">
        <v>117</v>
      </c>
      <c r="B11" s="41">
        <v>0</v>
      </c>
      <c r="C11" s="34"/>
      <c r="D11" s="34"/>
      <c r="E11" s="34"/>
      <c r="F11" s="34"/>
      <c r="G11" s="34"/>
      <c r="H11" s="34"/>
      <c r="I11" s="34"/>
      <c r="J11" s="34"/>
      <c r="K11" s="34"/>
    </row>
    <row r="12" spans="1:11" ht="26.4">
      <c r="A12" s="9" t="s">
        <v>93</v>
      </c>
      <c r="B12" s="34">
        <v>3</v>
      </c>
      <c r="C12" s="34">
        <v>-1.2524222899999999</v>
      </c>
      <c r="D12" s="34">
        <v>-0.64867449300000002</v>
      </c>
      <c r="E12" s="34">
        <v>-0.14506433300000002</v>
      </c>
      <c r="F12" s="34">
        <v>-0.67773143700000005</v>
      </c>
      <c r="G12" s="34">
        <v>-0.15765121200000001</v>
      </c>
      <c r="H12" s="34">
        <v>-1.5933095900000001</v>
      </c>
      <c r="I12" s="34">
        <v>-0.147022454</v>
      </c>
      <c r="J12" s="34">
        <v>1.4956021600000001E-2</v>
      </c>
      <c r="K12" s="34">
        <v>-3.9183891800000001</v>
      </c>
    </row>
    <row r="13" spans="1:11">
      <c r="A13" s="9"/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spans="1:11">
      <c r="A14" s="9"/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1">
      <c r="A15" s="9"/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>
      <c r="A16" s="40" t="s">
        <v>118</v>
      </c>
      <c r="B16" s="41">
        <v>0</v>
      </c>
      <c r="C16" s="34"/>
      <c r="D16" s="34"/>
      <c r="E16" s="34"/>
      <c r="F16" s="34"/>
      <c r="G16" s="34"/>
      <c r="H16" s="34"/>
      <c r="I16" s="34"/>
      <c r="J16" s="34"/>
      <c r="K16" s="34"/>
    </row>
    <row r="17" spans="1:11">
      <c r="A17" s="9" t="s">
        <v>37</v>
      </c>
      <c r="B17" s="34">
        <v>4</v>
      </c>
      <c r="C17" s="34">
        <v>2.0853247700000002</v>
      </c>
      <c r="D17" s="34">
        <v>3.1014057300000002</v>
      </c>
      <c r="E17" s="34">
        <v>-0.81560637999999996</v>
      </c>
      <c r="F17" s="34">
        <v>5.2745490999999998</v>
      </c>
      <c r="G17" s="34">
        <v>-1.0537234499999999</v>
      </c>
      <c r="H17" s="34">
        <v>-0.91803652300000005</v>
      </c>
      <c r="I17" s="34">
        <v>0.30331659500000002</v>
      </c>
      <c r="J17" s="34">
        <v>-0.44453620800000004</v>
      </c>
      <c r="K17" s="34">
        <v>-0.56349172700000005</v>
      </c>
    </row>
    <row r="18" spans="1:11" ht="39.6">
      <c r="A18" s="9" t="s">
        <v>48</v>
      </c>
      <c r="B18" s="34">
        <v>4</v>
      </c>
      <c r="C18" s="34">
        <v>-0.42964855300000004</v>
      </c>
      <c r="D18" s="34">
        <v>1.1873313299999999</v>
      </c>
      <c r="E18" s="34">
        <v>0.86766154100000004</v>
      </c>
      <c r="F18" s="34">
        <v>5.2651495300000004</v>
      </c>
      <c r="G18" s="34">
        <v>0.331115463</v>
      </c>
      <c r="H18" s="34">
        <v>-0.82037306300000001</v>
      </c>
      <c r="I18" s="34">
        <v>0.19073183300000002</v>
      </c>
      <c r="J18" s="34">
        <v>-0.79681358300000005</v>
      </c>
      <c r="K18" s="34">
        <v>0.92168026600000008</v>
      </c>
    </row>
    <row r="19" spans="1:11">
      <c r="A19" s="24" t="s">
        <v>114</v>
      </c>
      <c r="B19" s="38"/>
      <c r="C19" s="38">
        <f>AVERAGE(C17:C18)</f>
        <v>0.82783810850000006</v>
      </c>
      <c r="D19" s="38">
        <f t="shared" ref="D19:K19" si="0">AVERAGE(D17:D18)</f>
        <v>2.1443685299999999</v>
      </c>
      <c r="E19" s="38">
        <f t="shared" si="0"/>
        <v>2.6027580500000036E-2</v>
      </c>
      <c r="F19" s="38">
        <f t="shared" si="0"/>
        <v>5.2698493150000001</v>
      </c>
      <c r="G19" s="38">
        <f t="shared" si="0"/>
        <v>-0.36130399349999998</v>
      </c>
      <c r="H19" s="38">
        <f t="shared" si="0"/>
        <v>-0.86920479299999998</v>
      </c>
      <c r="I19" s="38">
        <f t="shared" si="0"/>
        <v>0.24702421400000002</v>
      </c>
      <c r="J19" s="38">
        <f t="shared" si="0"/>
        <v>-0.6206748955000001</v>
      </c>
      <c r="K19" s="38">
        <f t="shared" si="0"/>
        <v>0.17909426950000001</v>
      </c>
    </row>
    <row r="20" spans="1:11">
      <c r="A20" s="9"/>
      <c r="B20" s="34"/>
      <c r="C20" s="39">
        <v>2.0671279999999999</v>
      </c>
      <c r="D20" s="39">
        <v>2.0671279999999999</v>
      </c>
      <c r="E20" s="34"/>
      <c r="F20" s="34"/>
      <c r="G20" s="34"/>
      <c r="H20" s="34"/>
      <c r="I20" s="34"/>
      <c r="J20" s="34"/>
      <c r="K20" s="34"/>
    </row>
    <row r="21" spans="1:11">
      <c r="A21" s="9"/>
      <c r="B21" s="34"/>
      <c r="C21" s="34">
        <f>C20*C20</f>
        <v>4.2730181683839996</v>
      </c>
      <c r="D21" s="34">
        <f>D20*D20</f>
        <v>4.2730181683839996</v>
      </c>
      <c r="E21" s="34"/>
      <c r="F21" s="34"/>
      <c r="G21" s="34"/>
      <c r="H21" s="34"/>
      <c r="I21" s="34"/>
      <c r="J21" s="34"/>
      <c r="K21" s="34"/>
    </row>
    <row r="22" spans="1:11">
      <c r="A22" s="40" t="s">
        <v>121</v>
      </c>
      <c r="B22" s="41">
        <f>SUM(C21:D21)</f>
        <v>8.5460363367679992</v>
      </c>
      <c r="C22" s="34"/>
      <c r="D22" s="34"/>
      <c r="E22" s="34"/>
      <c r="F22" s="34"/>
      <c r="G22" s="34"/>
      <c r="H22" s="34"/>
      <c r="I22" s="34"/>
      <c r="J22" s="34"/>
      <c r="K22" s="34"/>
    </row>
    <row r="23" spans="1:11" ht="39.6">
      <c r="A23" s="9" t="s">
        <v>20</v>
      </c>
      <c r="B23" s="34">
        <v>5</v>
      </c>
      <c r="C23" s="34">
        <v>0.61790357400000007</v>
      </c>
      <c r="D23" s="34">
        <v>9.3321480299999992E-3</v>
      </c>
      <c r="E23" s="34">
        <v>-0.32232839400000002</v>
      </c>
      <c r="F23" s="34">
        <v>0.90139707600000007</v>
      </c>
      <c r="G23" s="34">
        <v>-0.27984288000000002</v>
      </c>
      <c r="H23" s="34">
        <v>-0.62225575900000007</v>
      </c>
      <c r="I23" s="34">
        <v>0.97882517000000002</v>
      </c>
      <c r="J23" s="34">
        <v>-0.84276280600000009</v>
      </c>
      <c r="K23" s="34">
        <v>0.25865705500000002</v>
      </c>
    </row>
    <row r="24" spans="1:11" ht="26.4">
      <c r="A24" s="9" t="s">
        <v>21</v>
      </c>
      <c r="B24" s="34">
        <v>5</v>
      </c>
      <c r="C24" s="34">
        <v>0.26165102900000003</v>
      </c>
      <c r="D24" s="34">
        <v>0.15571074400000001</v>
      </c>
      <c r="E24" s="34">
        <v>-8.1861548300000003E-2</v>
      </c>
      <c r="F24" s="34">
        <v>4.13360111E-2</v>
      </c>
      <c r="G24" s="34">
        <v>0.94207380600000001</v>
      </c>
      <c r="H24" s="34">
        <v>-1.57935767</v>
      </c>
      <c r="I24" s="34">
        <v>0.13443945200000001</v>
      </c>
      <c r="J24" s="34">
        <v>-0.49048543</v>
      </c>
      <c r="K24" s="34">
        <v>-0.32480337100000001</v>
      </c>
    </row>
    <row r="25" spans="1:11" ht="39.6">
      <c r="A25" s="9" t="s">
        <v>22</v>
      </c>
      <c r="B25" s="34">
        <v>5</v>
      </c>
      <c r="C25" s="34">
        <v>-0.16670024600000002</v>
      </c>
      <c r="D25" s="34">
        <v>1.2263656199999999</v>
      </c>
      <c r="E25" s="34">
        <v>0.89827539000000001</v>
      </c>
      <c r="F25" s="34">
        <v>0.20112877700000001</v>
      </c>
      <c r="G25" s="34">
        <v>-1.01299289</v>
      </c>
      <c r="H25" s="34">
        <v>1.18312306</v>
      </c>
      <c r="I25" s="34">
        <v>7.8147070400000004E-2</v>
      </c>
      <c r="J25" s="34">
        <v>0.78077640300000006</v>
      </c>
      <c r="K25" s="34">
        <v>-0.98782658200000006</v>
      </c>
    </row>
    <row r="26" spans="1:11" ht="39.6">
      <c r="A26" s="9" t="s">
        <v>23</v>
      </c>
      <c r="B26" s="34">
        <v>5</v>
      </c>
      <c r="C26" s="34">
        <v>0.121694672</v>
      </c>
      <c r="D26" s="34">
        <v>-0.47302017800000001</v>
      </c>
      <c r="E26" s="34">
        <v>-1.2214867599999999</v>
      </c>
      <c r="F26" s="34">
        <v>0.295124522</v>
      </c>
      <c r="G26" s="34">
        <v>0.331115463</v>
      </c>
      <c r="H26" s="34">
        <v>0.34600768700000001</v>
      </c>
      <c r="I26" s="34">
        <v>0.69736326400000004</v>
      </c>
      <c r="J26" s="34">
        <v>0.305967767</v>
      </c>
      <c r="K26" s="34">
        <v>0.29843844800000002</v>
      </c>
    </row>
    <row r="27" spans="1:11" ht="39.6">
      <c r="A27" s="9" t="s">
        <v>24</v>
      </c>
      <c r="B27" s="34">
        <v>5</v>
      </c>
      <c r="C27" s="34">
        <v>-0.72652567400000001</v>
      </c>
      <c r="D27" s="34">
        <v>-0.27784871700000002</v>
      </c>
      <c r="E27" s="34">
        <v>-0.165308975</v>
      </c>
      <c r="F27" s="34">
        <v>6.013516E-2</v>
      </c>
      <c r="G27" s="34">
        <v>0.8606126930000001</v>
      </c>
      <c r="H27" s="34">
        <v>0.47436537700000003</v>
      </c>
      <c r="I27" s="34">
        <v>0.30331659500000002</v>
      </c>
      <c r="J27" s="34">
        <v>-0.55175106100000004</v>
      </c>
      <c r="K27" s="34">
        <v>-1.0408684399999999</v>
      </c>
    </row>
    <row r="28" spans="1:11" ht="26.4">
      <c r="A28" s="9" t="s">
        <v>25</v>
      </c>
      <c r="B28" s="34">
        <v>5</v>
      </c>
      <c r="C28" s="34">
        <v>1.04625485</v>
      </c>
      <c r="D28" s="34">
        <v>-0.61939877399999999</v>
      </c>
      <c r="E28" s="34">
        <v>1.1510865299999999</v>
      </c>
      <c r="F28" s="34">
        <v>0.12358228800000001</v>
      </c>
      <c r="G28" s="34">
        <v>0.45330713100000003</v>
      </c>
      <c r="H28" s="34">
        <v>0.11440576700000001</v>
      </c>
      <c r="I28" s="34">
        <v>7.8147070400000004E-2</v>
      </c>
      <c r="J28" s="34">
        <v>-0.52111824600000001</v>
      </c>
      <c r="K28" s="34">
        <v>-0.28502197800000001</v>
      </c>
    </row>
    <row r="29" spans="1:11" ht="39.6">
      <c r="A29" s="9" t="s">
        <v>26</v>
      </c>
      <c r="B29" s="34">
        <v>5</v>
      </c>
      <c r="C29" s="34">
        <v>-1.0573316100000001</v>
      </c>
      <c r="D29" s="34">
        <v>8.6006650700000006E-2</v>
      </c>
      <c r="E29" s="34">
        <v>-0.30603392600000001</v>
      </c>
      <c r="F29" s="34">
        <v>-0.40984356400000005</v>
      </c>
      <c r="G29" s="34">
        <v>0.24965435</v>
      </c>
      <c r="H29" s="34">
        <v>2.0313999699999998</v>
      </c>
      <c r="I29" s="34">
        <v>-9.0730073300000005E-2</v>
      </c>
      <c r="J29" s="34">
        <v>-0.23010650100000002</v>
      </c>
      <c r="K29" s="34">
        <v>-1.59780794</v>
      </c>
    </row>
    <row r="30" spans="1:11" ht="26.4">
      <c r="A30" s="9" t="s">
        <v>27</v>
      </c>
      <c r="B30" s="34">
        <v>5</v>
      </c>
      <c r="C30" s="34">
        <v>-7.7637109300000007E-2</v>
      </c>
      <c r="D30" s="34">
        <v>-0.272272389</v>
      </c>
      <c r="E30" s="34">
        <v>-1.2891334999999999</v>
      </c>
      <c r="F30" s="34">
        <v>0.149431118</v>
      </c>
      <c r="G30" s="34">
        <v>-7.6190099300000008E-2</v>
      </c>
      <c r="H30" s="34">
        <v>0.32647499500000005</v>
      </c>
      <c r="I30" s="34">
        <v>0.92253278900000002</v>
      </c>
      <c r="J30" s="34">
        <v>0.21406932100000001</v>
      </c>
      <c r="K30" s="34">
        <v>-0.92152426100000007</v>
      </c>
    </row>
    <row r="31" spans="1:11" ht="26.4">
      <c r="A31" s="9" t="s">
        <v>28</v>
      </c>
      <c r="B31" s="34">
        <v>5</v>
      </c>
      <c r="C31" s="34">
        <v>-0.13701253300000002</v>
      </c>
      <c r="D31" s="34">
        <v>0.81092922200000006</v>
      </c>
      <c r="E31" s="34">
        <v>-0.97114448300000011</v>
      </c>
      <c r="F31" s="34">
        <v>0.60531047999999998</v>
      </c>
      <c r="G31" s="34">
        <v>0.73842102500000006</v>
      </c>
      <c r="H31" s="34">
        <v>2.7903845699999998E-3</v>
      </c>
      <c r="I31" s="34">
        <v>1.1477023100000001</v>
      </c>
      <c r="J31" s="34">
        <v>-0.75086436000000001</v>
      </c>
      <c r="K31" s="34">
        <v>0.17909427</v>
      </c>
    </row>
    <row r="32" spans="1:11" ht="39.6">
      <c r="A32" s="9" t="s">
        <v>29</v>
      </c>
      <c r="B32" s="34">
        <v>5</v>
      </c>
      <c r="C32" s="34">
        <v>1.54670485</v>
      </c>
      <c r="D32" s="34">
        <v>-0.85639269200000001</v>
      </c>
      <c r="E32" s="34">
        <v>-0.74845342100000001</v>
      </c>
      <c r="F32" s="34">
        <v>1.2867796300000001</v>
      </c>
      <c r="G32" s="34">
        <v>0.57549879999999998</v>
      </c>
      <c r="H32" s="34">
        <v>-1.5486634399999999</v>
      </c>
      <c r="I32" s="34">
        <v>0.30331659500000002</v>
      </c>
      <c r="J32" s="34">
        <v>-1.5320011500000001</v>
      </c>
      <c r="K32" s="34">
        <v>1.38579651</v>
      </c>
    </row>
    <row r="33" spans="1:11" ht="26.4">
      <c r="A33" s="9" t="s">
        <v>30</v>
      </c>
      <c r="B33" s="34">
        <v>5</v>
      </c>
      <c r="C33" s="34">
        <v>-0.382996434</v>
      </c>
      <c r="D33" s="34">
        <v>2.0484803000000003E-2</v>
      </c>
      <c r="E33" s="34">
        <v>1.39204715</v>
      </c>
      <c r="F33" s="34">
        <v>0.22932750100000002</v>
      </c>
      <c r="G33" s="34">
        <v>0.16819323800000002</v>
      </c>
      <c r="H33" s="34">
        <v>-0.139519228</v>
      </c>
      <c r="I33" s="34">
        <v>0.64107088300000004</v>
      </c>
      <c r="J33" s="34">
        <v>-0.61301669200000009</v>
      </c>
      <c r="K33" s="34">
        <v>1.2929732600000001</v>
      </c>
    </row>
    <row r="34" spans="1:11" ht="26.4">
      <c r="A34" s="9" t="s">
        <v>31</v>
      </c>
      <c r="B34" s="34">
        <v>5</v>
      </c>
      <c r="C34" s="34">
        <v>0.67727899800000002</v>
      </c>
      <c r="D34" s="34">
        <v>-0.40749833000000002</v>
      </c>
      <c r="E34" s="34">
        <v>-0.12975740900000002</v>
      </c>
      <c r="F34" s="34">
        <v>-6.4409201900000004E-2</v>
      </c>
      <c r="G34" s="34">
        <v>5.27101316E-3</v>
      </c>
      <c r="H34" s="34">
        <v>0.91524613900000007</v>
      </c>
      <c r="I34" s="34">
        <v>0.24702421400000002</v>
      </c>
      <c r="J34" s="34">
        <v>-0.21479009300000002</v>
      </c>
      <c r="K34" s="34">
        <v>1.9968699100000001E-2</v>
      </c>
    </row>
    <row r="35" spans="1:11" ht="39.6">
      <c r="A35" s="9" t="s">
        <v>32</v>
      </c>
      <c r="B35" s="34">
        <v>5</v>
      </c>
      <c r="C35" s="34">
        <v>-0.76469558900000001</v>
      </c>
      <c r="D35" s="34">
        <v>0.43592119900000004</v>
      </c>
      <c r="E35" s="34">
        <v>-0.91929844900000002</v>
      </c>
      <c r="F35" s="34">
        <v>5.54353728E-2</v>
      </c>
      <c r="G35" s="34">
        <v>0.57549879999999998</v>
      </c>
      <c r="H35" s="34">
        <v>-7.8130767900000009E-2</v>
      </c>
      <c r="I35" s="34">
        <v>0.24702421400000002</v>
      </c>
      <c r="J35" s="34">
        <v>4.5588836800000004E-2</v>
      </c>
      <c r="K35" s="34">
        <v>1.22667094</v>
      </c>
    </row>
    <row r="36" spans="1:11" ht="39.6">
      <c r="A36" s="9" t="s">
        <v>33</v>
      </c>
      <c r="B36" s="34">
        <v>5</v>
      </c>
      <c r="C36" s="34">
        <v>6.2319247700000004E-2</v>
      </c>
      <c r="D36" s="34">
        <v>0.16965156300000001</v>
      </c>
      <c r="E36" s="34">
        <v>-0.76771051900000009</v>
      </c>
      <c r="F36" s="34">
        <v>-4.0910265600000002E-2</v>
      </c>
      <c r="G36" s="34">
        <v>-0.52422621800000002</v>
      </c>
      <c r="H36" s="34">
        <v>0.281828841</v>
      </c>
      <c r="I36" s="34">
        <v>1.65433374</v>
      </c>
      <c r="J36" s="34">
        <v>-0.138208055</v>
      </c>
      <c r="K36" s="34">
        <v>2.6322801500000002</v>
      </c>
    </row>
    <row r="37" spans="1:11" ht="26.4">
      <c r="A37" s="9" t="s">
        <v>34</v>
      </c>
      <c r="B37" s="34">
        <v>5</v>
      </c>
      <c r="C37" s="34">
        <v>-0.77741889400000008</v>
      </c>
      <c r="D37" s="34">
        <v>-0.66122122999999999</v>
      </c>
      <c r="E37" s="34">
        <v>-0.161852573</v>
      </c>
      <c r="F37" s="34">
        <v>-0.139605798</v>
      </c>
      <c r="G37" s="34">
        <v>-0.56495677399999999</v>
      </c>
      <c r="H37" s="34">
        <v>0.53296345300000003</v>
      </c>
      <c r="I37" s="34">
        <v>0.86624040700000005</v>
      </c>
      <c r="J37" s="34">
        <v>-0.24542290800000002</v>
      </c>
      <c r="K37" s="34">
        <v>0.192354734</v>
      </c>
    </row>
    <row r="38" spans="1:11" ht="26.4">
      <c r="A38" s="9" t="s">
        <v>35</v>
      </c>
      <c r="B38" s="34">
        <v>5</v>
      </c>
      <c r="C38" s="34">
        <v>-1.2972781799999999E-3</v>
      </c>
      <c r="D38" s="34">
        <v>-0.47302017800000001</v>
      </c>
      <c r="E38" s="34">
        <v>-0.48428553100000005</v>
      </c>
      <c r="F38" s="34">
        <v>0.27162558600000003</v>
      </c>
      <c r="G38" s="34">
        <v>1.3493793700000001</v>
      </c>
      <c r="H38" s="34">
        <v>0.41576730100000003</v>
      </c>
      <c r="I38" s="34">
        <v>0.58477850100000006</v>
      </c>
      <c r="J38" s="34">
        <v>-0.32200494600000001</v>
      </c>
      <c r="K38" s="34">
        <v>1.2399314100000001</v>
      </c>
    </row>
    <row r="39" spans="1:11" ht="39.6">
      <c r="A39" s="9" t="s">
        <v>36</v>
      </c>
      <c r="B39" s="34">
        <v>5</v>
      </c>
      <c r="C39" s="34">
        <v>-0.69259685999999998</v>
      </c>
      <c r="D39" s="34">
        <v>0.13340543400000002</v>
      </c>
      <c r="E39" s="34">
        <v>0.24550912700000002</v>
      </c>
      <c r="F39" s="34">
        <v>-5.9709414600000003E-2</v>
      </c>
      <c r="G39" s="34">
        <v>0.77915158100000004</v>
      </c>
      <c r="H39" s="34">
        <v>0.47994614600000002</v>
      </c>
      <c r="I39" s="34">
        <v>0.86624040700000005</v>
      </c>
      <c r="J39" s="34">
        <v>-0.62833309900000001</v>
      </c>
      <c r="K39" s="34">
        <v>0.51060587499999999</v>
      </c>
    </row>
    <row r="40" spans="1:11" ht="39.6">
      <c r="A40" s="9" t="s">
        <v>42</v>
      </c>
      <c r="B40" s="34">
        <v>5</v>
      </c>
      <c r="C40" s="34">
        <v>0.20651670600000002</v>
      </c>
      <c r="D40" s="34">
        <v>0.51538386600000008</v>
      </c>
      <c r="E40" s="34">
        <v>1.2162644</v>
      </c>
      <c r="F40" s="34">
        <v>-0.47564058600000003</v>
      </c>
      <c r="G40" s="34">
        <v>-0.850070667</v>
      </c>
      <c r="H40" s="34">
        <v>0.47436537700000003</v>
      </c>
      <c r="I40" s="34">
        <v>-0.76623864800000008</v>
      </c>
      <c r="J40" s="34">
        <v>-1.13377455</v>
      </c>
      <c r="K40" s="34">
        <v>-0.37784522800000003</v>
      </c>
    </row>
    <row r="41" spans="1:11" ht="39.6">
      <c r="A41" s="9" t="s">
        <v>43</v>
      </c>
      <c r="B41" s="34">
        <v>5</v>
      </c>
      <c r="C41" s="34">
        <v>-0.11156592300000001</v>
      </c>
      <c r="D41" s="34">
        <v>0.57532938600000005</v>
      </c>
      <c r="E41" s="34">
        <v>-0.22505535800000001</v>
      </c>
      <c r="F41" s="34">
        <v>0.48311601200000004</v>
      </c>
      <c r="G41" s="34">
        <v>0.37184601900000003</v>
      </c>
      <c r="H41" s="34">
        <v>7.5340383400000002E-2</v>
      </c>
      <c r="I41" s="34">
        <v>0.97882517000000002</v>
      </c>
      <c r="J41" s="34">
        <v>-3.60386062E-4</v>
      </c>
      <c r="K41" s="34">
        <v>1.2929732600000001</v>
      </c>
    </row>
    <row r="42" spans="1:11" ht="39.6">
      <c r="A42" s="9" t="s">
        <v>44</v>
      </c>
      <c r="B42" s="34">
        <v>5</v>
      </c>
      <c r="C42" s="34">
        <v>2.0895658699999999</v>
      </c>
      <c r="D42" s="34">
        <v>-0.90797372100000007</v>
      </c>
      <c r="E42" s="34">
        <v>-0.75141605100000008</v>
      </c>
      <c r="F42" s="34">
        <v>-0.21480239400000001</v>
      </c>
      <c r="G42" s="34">
        <v>-0.56495677399999999</v>
      </c>
      <c r="H42" s="34">
        <v>-0.43250960800000005</v>
      </c>
      <c r="I42" s="34">
        <v>0.415901358</v>
      </c>
      <c r="J42" s="34">
        <v>-1.225673</v>
      </c>
      <c r="K42" s="34">
        <v>-1.18673355</v>
      </c>
    </row>
    <row r="43" spans="1:11" ht="39.6">
      <c r="A43" s="9" t="s">
        <v>49</v>
      </c>
      <c r="B43" s="34">
        <v>5</v>
      </c>
      <c r="C43" s="34">
        <v>1.20317561</v>
      </c>
      <c r="D43" s="34">
        <v>-0.668191639</v>
      </c>
      <c r="E43" s="34">
        <v>-1.10495663</v>
      </c>
      <c r="F43" s="34">
        <v>0.61471005500000009</v>
      </c>
      <c r="G43" s="34">
        <v>-0.60568732999999997</v>
      </c>
      <c r="H43" s="34">
        <v>-0.32089422500000003</v>
      </c>
      <c r="I43" s="34">
        <v>-1.94837865</v>
      </c>
      <c r="J43" s="34">
        <v>0.41318262</v>
      </c>
      <c r="K43" s="34">
        <v>-1.2928172600000001</v>
      </c>
    </row>
    <row r="44" spans="1:11" ht="26.4">
      <c r="A44" s="9" t="s">
        <v>51</v>
      </c>
      <c r="B44" s="34">
        <v>5</v>
      </c>
      <c r="C44" s="34">
        <v>-0.18366465200000001</v>
      </c>
      <c r="D44" s="34">
        <v>-1.44190708</v>
      </c>
      <c r="E44" s="34">
        <v>-1.1503836299999999</v>
      </c>
      <c r="F44" s="34">
        <v>0.47606633100000001</v>
      </c>
      <c r="G44" s="34">
        <v>0.57549879999999998</v>
      </c>
      <c r="H44" s="34">
        <v>-0.90129421600000004</v>
      </c>
      <c r="I44" s="34">
        <v>0.86624040700000005</v>
      </c>
      <c r="J44" s="34">
        <v>1.68444445</v>
      </c>
      <c r="K44" s="34">
        <v>0.56364773200000007</v>
      </c>
    </row>
    <row r="45" spans="1:11" ht="39.6">
      <c r="A45" s="9" t="s">
        <v>52</v>
      </c>
      <c r="B45" s="34">
        <v>5</v>
      </c>
      <c r="C45" s="34">
        <v>0.42281289500000002</v>
      </c>
      <c r="D45" s="34">
        <v>-0.85499860999999999</v>
      </c>
      <c r="E45" s="34">
        <v>-0.72919632200000006</v>
      </c>
      <c r="F45" s="34">
        <v>0.41026931</v>
      </c>
      <c r="G45" s="34">
        <v>-0.15765121200000001</v>
      </c>
      <c r="H45" s="34">
        <v>0.13393845900000001</v>
      </c>
      <c r="I45" s="34">
        <v>0.69736326400000004</v>
      </c>
      <c r="J45" s="34">
        <v>-1.36352067</v>
      </c>
      <c r="K45" s="34">
        <v>0.36474076900000002</v>
      </c>
    </row>
    <row r="46" spans="1:11" ht="39.6">
      <c r="A46" s="9" t="s">
        <v>53</v>
      </c>
      <c r="B46" s="34">
        <v>5</v>
      </c>
      <c r="C46" s="34">
        <v>-0.43813075600000001</v>
      </c>
      <c r="D46" s="34">
        <v>-0.36567587400000001</v>
      </c>
      <c r="E46" s="34">
        <v>-0.785486303</v>
      </c>
      <c r="F46" s="34">
        <v>-0.53908771300000002</v>
      </c>
      <c r="G46" s="34">
        <v>0.57549879999999998</v>
      </c>
      <c r="H46" s="34">
        <v>-2.5113461100000001E-2</v>
      </c>
      <c r="I46" s="34">
        <v>-0.315899598</v>
      </c>
      <c r="J46" s="34">
        <v>1.0717881499999999</v>
      </c>
      <c r="K46" s="34">
        <v>-9.9375478900000008E-2</v>
      </c>
    </row>
    <row r="47" spans="1:11" ht="39.6">
      <c r="A47" s="9" t="s">
        <v>54</v>
      </c>
      <c r="B47" s="34">
        <v>5</v>
      </c>
      <c r="C47" s="34">
        <v>-0.51447058700000003</v>
      </c>
      <c r="D47" s="34">
        <v>-0.39913383900000005</v>
      </c>
      <c r="E47" s="34">
        <v>-0.97558842900000009</v>
      </c>
      <c r="F47" s="34">
        <v>-0.37459515999999998</v>
      </c>
      <c r="G47" s="34">
        <v>-0.68714844200000003</v>
      </c>
      <c r="H47" s="34">
        <v>2.7903845699999998E-3</v>
      </c>
      <c r="I47" s="34">
        <v>0.13443945200000001</v>
      </c>
      <c r="J47" s="34">
        <v>0.61229591900000002</v>
      </c>
      <c r="K47" s="34">
        <v>1.63774533</v>
      </c>
    </row>
    <row r="48" spans="1:11" ht="39.6">
      <c r="A48" s="9" t="s">
        <v>55</v>
      </c>
      <c r="B48" s="34">
        <v>5</v>
      </c>
      <c r="C48" s="34">
        <v>-0.46357736700000002</v>
      </c>
      <c r="D48" s="34">
        <v>0.92942617999999999</v>
      </c>
      <c r="E48" s="34">
        <v>-0.272951218</v>
      </c>
      <c r="F48" s="34">
        <v>-9.0258031700000005E-2</v>
      </c>
      <c r="G48" s="34">
        <v>-0.56495677399999999</v>
      </c>
      <c r="H48" s="34">
        <v>-0.8315346010000001</v>
      </c>
      <c r="I48" s="34">
        <v>1.0351175500000001</v>
      </c>
      <c r="J48" s="34">
        <v>0.48976465800000002</v>
      </c>
      <c r="K48" s="34">
        <v>0.47082448300000002</v>
      </c>
    </row>
    <row r="49" spans="1:11" ht="39.6">
      <c r="A49" s="9" t="s">
        <v>56</v>
      </c>
      <c r="B49" s="34">
        <v>5</v>
      </c>
      <c r="C49" s="34">
        <v>1.02504934</v>
      </c>
      <c r="D49" s="34">
        <v>-1.49906443</v>
      </c>
      <c r="E49" s="34">
        <v>-1.5928031300000001</v>
      </c>
      <c r="F49" s="34">
        <v>2.0904432499999999</v>
      </c>
      <c r="G49" s="34">
        <v>0.94207380600000001</v>
      </c>
      <c r="H49" s="34">
        <v>-0.627836528</v>
      </c>
      <c r="I49" s="34">
        <v>1.31657946</v>
      </c>
      <c r="J49" s="34">
        <v>1.8222921200000002</v>
      </c>
      <c r="K49" s="34">
        <v>0.56364773200000007</v>
      </c>
    </row>
    <row r="50" spans="1:11" ht="39.6">
      <c r="A50" s="9" t="s">
        <v>57</v>
      </c>
      <c r="B50" s="34">
        <v>5</v>
      </c>
      <c r="C50" s="34">
        <v>0.63486798100000008</v>
      </c>
      <c r="D50" s="34">
        <v>-2.8722350699999999</v>
      </c>
      <c r="E50" s="34">
        <v>-0.23986851100000001</v>
      </c>
      <c r="F50" s="34">
        <v>0.34212239500000002</v>
      </c>
      <c r="G50" s="34">
        <v>-0.44276510500000005</v>
      </c>
      <c r="H50" s="34">
        <v>-1.3896115199999999</v>
      </c>
      <c r="I50" s="34">
        <v>2.10467279</v>
      </c>
      <c r="J50" s="34">
        <v>0.16812009800000002</v>
      </c>
      <c r="K50" s="34">
        <v>0.32495937600000002</v>
      </c>
    </row>
    <row r="51" spans="1:11" ht="52.8">
      <c r="A51" s="9" t="s">
        <v>58</v>
      </c>
      <c r="B51" s="34">
        <v>5</v>
      </c>
      <c r="C51" s="34">
        <v>4.1295358000000002</v>
      </c>
      <c r="D51" s="34">
        <v>-2.0748202400000002</v>
      </c>
      <c r="E51" s="34">
        <v>-1.6377363599999999</v>
      </c>
      <c r="F51" s="34">
        <v>1.73090952</v>
      </c>
      <c r="G51" s="34">
        <v>-0.15765121200000001</v>
      </c>
      <c r="H51" s="34">
        <v>-1.74119997</v>
      </c>
      <c r="I51" s="34">
        <v>-0.315899598</v>
      </c>
      <c r="J51" s="34">
        <v>0.81140921900000007</v>
      </c>
      <c r="K51" s="34">
        <v>5.9750091700000001E-2</v>
      </c>
    </row>
    <row r="52" spans="1:11" ht="79.2">
      <c r="A52" s="9" t="s">
        <v>59</v>
      </c>
      <c r="B52" s="34">
        <v>5</v>
      </c>
      <c r="C52" s="34">
        <v>0.91053959300000009</v>
      </c>
      <c r="D52" s="34">
        <v>-1.4182076800000001</v>
      </c>
      <c r="E52" s="34">
        <v>-1.5641643599999999</v>
      </c>
      <c r="F52" s="34">
        <v>0.89199750200000005</v>
      </c>
      <c r="G52" s="34">
        <v>1.8788765999999999</v>
      </c>
      <c r="H52" s="34">
        <v>-0.75340383399999999</v>
      </c>
      <c r="I52" s="34">
        <v>1.0351175500000001</v>
      </c>
      <c r="J52" s="34">
        <v>-0.56706746900000005</v>
      </c>
      <c r="K52" s="34">
        <v>-0.19219872800000001</v>
      </c>
    </row>
    <row r="53" spans="1:11" ht="79.2">
      <c r="A53" s="9" t="s">
        <v>60</v>
      </c>
      <c r="B53" s="34">
        <v>5</v>
      </c>
      <c r="C53" s="34">
        <v>1.31344426</v>
      </c>
      <c r="D53" s="34">
        <v>-0.94700801300000004</v>
      </c>
      <c r="E53" s="34">
        <v>0.41882301400000005</v>
      </c>
      <c r="F53" s="34">
        <v>0.11183282</v>
      </c>
      <c r="G53" s="34">
        <v>-1.6646817899999999</v>
      </c>
      <c r="H53" s="34">
        <v>-0.73387114200000003</v>
      </c>
      <c r="I53" s="34">
        <v>0.64107088300000004</v>
      </c>
      <c r="J53" s="34">
        <v>-1.54731756</v>
      </c>
      <c r="K53" s="34">
        <v>3.3229163300000003E-2</v>
      </c>
    </row>
    <row r="54" spans="1:11" ht="52.8">
      <c r="A54" s="9" t="s">
        <v>62</v>
      </c>
      <c r="B54" s="34">
        <v>5</v>
      </c>
      <c r="C54" s="34">
        <v>2.1955934199999998</v>
      </c>
      <c r="D54" s="34">
        <v>-1.56179812</v>
      </c>
      <c r="E54" s="34">
        <v>-2.0480606899999998</v>
      </c>
      <c r="F54" s="34">
        <v>0.79800175700000009</v>
      </c>
      <c r="G54" s="34">
        <v>-0.15765121200000001</v>
      </c>
      <c r="H54" s="34">
        <v>-2.5169268799999998</v>
      </c>
      <c r="I54" s="34">
        <v>-0.37219197900000001</v>
      </c>
      <c r="J54" s="34">
        <v>0.45913184300000004</v>
      </c>
      <c r="K54" s="34">
        <v>-1.2132544700000001</v>
      </c>
    </row>
    <row r="55" spans="1:11" ht="39.6">
      <c r="A55" s="9" t="s">
        <v>63</v>
      </c>
      <c r="B55" s="34">
        <v>5</v>
      </c>
      <c r="C55" s="34">
        <v>-2.67438885E-2</v>
      </c>
      <c r="D55" s="34">
        <v>-1.1589084599999999</v>
      </c>
      <c r="E55" s="34">
        <v>0.15860529800000001</v>
      </c>
      <c r="F55" s="34">
        <v>-7.6158669999999998E-2</v>
      </c>
      <c r="G55" s="34">
        <v>-1.094454</v>
      </c>
      <c r="H55" s="34">
        <v>-0.27066730300000003</v>
      </c>
      <c r="I55" s="34">
        <v>1.7106261300000001</v>
      </c>
      <c r="J55" s="34">
        <v>1.9754562</v>
      </c>
      <c r="K55" s="34">
        <v>0.39126169700000002</v>
      </c>
    </row>
    <row r="56" spans="1:11" ht="52.8">
      <c r="A56" s="9" t="s">
        <v>64</v>
      </c>
      <c r="B56" s="34">
        <v>5</v>
      </c>
      <c r="C56" s="34">
        <v>0.35495526700000002</v>
      </c>
      <c r="D56" s="34">
        <v>-0.52738937100000005</v>
      </c>
      <c r="E56" s="34">
        <v>1.56980498</v>
      </c>
      <c r="F56" s="34">
        <v>3.4286330199999999E-2</v>
      </c>
      <c r="G56" s="34">
        <v>4.6001569400000004E-2</v>
      </c>
      <c r="H56" s="34">
        <v>-0.77293652600000007</v>
      </c>
      <c r="I56" s="34">
        <v>-0.20331483600000003</v>
      </c>
      <c r="J56" s="34">
        <v>0.26001854400000002</v>
      </c>
      <c r="K56" s="34">
        <v>-0.28502197800000001</v>
      </c>
    </row>
    <row r="57" spans="1:11" ht="39.6">
      <c r="A57" s="9" t="s">
        <v>65</v>
      </c>
      <c r="B57" s="34">
        <v>5</v>
      </c>
      <c r="C57" s="34">
        <v>0.33374975800000001</v>
      </c>
      <c r="D57" s="34">
        <v>0.25887280200000001</v>
      </c>
      <c r="E57" s="34">
        <v>0.48202579900000003</v>
      </c>
      <c r="F57" s="34">
        <v>-0.20540281900000001</v>
      </c>
      <c r="G57" s="34">
        <v>-0.52422621800000002</v>
      </c>
      <c r="H57" s="34">
        <v>0.29299037999999999</v>
      </c>
      <c r="I57" s="34">
        <v>0.75365564500000004</v>
      </c>
      <c r="J57" s="34">
        <v>1.5312803800000001</v>
      </c>
      <c r="K57" s="34">
        <v>-0.36458476300000003</v>
      </c>
    </row>
    <row r="58" spans="1:11" ht="52.8">
      <c r="A58" s="9" t="s">
        <v>66</v>
      </c>
      <c r="B58" s="34">
        <v>5</v>
      </c>
      <c r="C58" s="34">
        <v>1.10138917</v>
      </c>
      <c r="D58" s="34">
        <v>-0.71280225900000005</v>
      </c>
      <c r="E58" s="34">
        <v>-1.0634798000000001</v>
      </c>
      <c r="F58" s="34">
        <v>-1.9761223099999999E-2</v>
      </c>
      <c r="G58" s="34">
        <v>-0.23911232400000001</v>
      </c>
      <c r="H58" s="34">
        <v>-0.56086729800000001</v>
      </c>
      <c r="I58" s="34">
        <v>-0.76623864800000008</v>
      </c>
      <c r="J58" s="34">
        <v>1.92950698</v>
      </c>
      <c r="K58" s="34">
        <v>-0.37784522800000003</v>
      </c>
    </row>
    <row r="59" spans="1:11" ht="39.6">
      <c r="A59" s="9" t="s">
        <v>67</v>
      </c>
      <c r="B59" s="34">
        <v>5</v>
      </c>
      <c r="C59" s="34">
        <v>1.5000527300000002</v>
      </c>
      <c r="D59" s="34">
        <v>-1.02925884</v>
      </c>
      <c r="E59" s="34">
        <v>-0.134695126</v>
      </c>
      <c r="F59" s="34">
        <v>0.39851984100000004</v>
      </c>
      <c r="G59" s="34">
        <v>-1.78687346</v>
      </c>
      <c r="H59" s="34">
        <v>-0.52738268300000002</v>
      </c>
      <c r="I59" s="34">
        <v>0.97882517000000002</v>
      </c>
      <c r="J59" s="34">
        <v>0.305967767</v>
      </c>
      <c r="K59" s="34">
        <v>2.6853220100000001</v>
      </c>
    </row>
    <row r="60" spans="1:11" ht="52.8">
      <c r="A60" s="9" t="s">
        <v>68</v>
      </c>
      <c r="B60" s="34">
        <v>5</v>
      </c>
      <c r="C60" s="34">
        <v>-0.11580702500000001</v>
      </c>
      <c r="D60" s="34">
        <v>0.19753319999999999</v>
      </c>
      <c r="E60" s="34">
        <v>0.81433419100000004</v>
      </c>
      <c r="F60" s="34">
        <v>-9.7307712599999999E-2</v>
      </c>
      <c r="G60" s="34">
        <v>-1.42029845</v>
      </c>
      <c r="H60" s="34">
        <v>-0.19253653500000001</v>
      </c>
      <c r="I60" s="34">
        <v>0.92253278900000002</v>
      </c>
      <c r="J60" s="34">
        <v>0.97988970300000011</v>
      </c>
      <c r="K60" s="34">
        <v>0.139312877</v>
      </c>
    </row>
    <row r="61" spans="1:11" ht="52.8">
      <c r="A61" s="9" t="s">
        <v>69</v>
      </c>
      <c r="B61" s="34">
        <v>5</v>
      </c>
      <c r="C61" s="34">
        <v>-2.2502786800000001E-2</v>
      </c>
      <c r="D61" s="34">
        <v>0.74401329199999999</v>
      </c>
      <c r="E61" s="34">
        <v>-0.20678580300000002</v>
      </c>
      <c r="F61" s="34">
        <v>0.38442048000000001</v>
      </c>
      <c r="G61" s="34">
        <v>0.29038490700000003</v>
      </c>
      <c r="H61" s="34">
        <v>-0.86501921600000009</v>
      </c>
      <c r="I61" s="34">
        <v>1.20399469</v>
      </c>
      <c r="J61" s="34">
        <v>0.12217087500000001</v>
      </c>
      <c r="K61" s="34">
        <v>-0.19219872800000001</v>
      </c>
    </row>
    <row r="62" spans="1:11" ht="26.4">
      <c r="A62" s="9" t="s">
        <v>70</v>
      </c>
      <c r="B62" s="34">
        <v>5</v>
      </c>
      <c r="C62" s="34">
        <v>0.21924001200000001</v>
      </c>
      <c r="D62" s="34">
        <v>-0.88566841100000004</v>
      </c>
      <c r="E62" s="34">
        <v>0.23958386600000001</v>
      </c>
      <c r="F62" s="34">
        <v>-0.39104441500000003</v>
      </c>
      <c r="G62" s="34">
        <v>-0.40203454900000002</v>
      </c>
      <c r="H62" s="34">
        <v>-0.54970576000000004</v>
      </c>
      <c r="I62" s="34">
        <v>0.47219373900000006</v>
      </c>
      <c r="J62" s="34">
        <v>-9.2258831900000005E-2</v>
      </c>
      <c r="K62" s="34">
        <v>0.69625237400000006</v>
      </c>
    </row>
    <row r="63" spans="1:11" ht="26.4">
      <c r="A63" s="9" t="s">
        <v>71</v>
      </c>
      <c r="B63" s="34">
        <v>5</v>
      </c>
      <c r="C63" s="34">
        <v>-1.08277822</v>
      </c>
      <c r="D63" s="34">
        <v>0.22820300100000002</v>
      </c>
      <c r="E63" s="34">
        <v>0.14477968800000002</v>
      </c>
      <c r="F63" s="34">
        <v>-0.46389111700000002</v>
      </c>
      <c r="G63" s="34">
        <v>-0.15765121200000001</v>
      </c>
      <c r="H63" s="34">
        <v>1.14405767</v>
      </c>
      <c r="I63" s="34">
        <v>0.69736326400000004</v>
      </c>
      <c r="J63" s="34">
        <v>-0.58238387600000008</v>
      </c>
      <c r="K63" s="34">
        <v>-0.112635943</v>
      </c>
    </row>
    <row r="64" spans="1:11" ht="39.6">
      <c r="A64" s="9" t="s">
        <v>72</v>
      </c>
      <c r="B64" s="34">
        <v>5</v>
      </c>
      <c r="C64" s="34">
        <v>-0.72228457200000007</v>
      </c>
      <c r="D64" s="34">
        <v>0.13898176200000001</v>
      </c>
      <c r="E64" s="34">
        <v>0.66373380500000001</v>
      </c>
      <c r="F64" s="34">
        <v>8.4375003899999999E-3</v>
      </c>
      <c r="G64" s="34">
        <v>0.534768244</v>
      </c>
      <c r="H64" s="34">
        <v>1.4175153599999999</v>
      </c>
      <c r="I64" s="34">
        <v>-0.20331483600000003</v>
      </c>
      <c r="J64" s="34">
        <v>0.10685446700000001</v>
      </c>
      <c r="K64" s="34">
        <v>0.139312877</v>
      </c>
    </row>
    <row r="65" spans="1:11" ht="39.6">
      <c r="A65" s="9" t="s">
        <v>73</v>
      </c>
      <c r="B65" s="34">
        <v>5</v>
      </c>
      <c r="C65" s="34">
        <v>0.30406204600000003</v>
      </c>
      <c r="D65" s="34">
        <v>0.101341551</v>
      </c>
      <c r="E65" s="34">
        <v>0.74668746100000005</v>
      </c>
      <c r="F65" s="34">
        <v>-0.35814590400000001</v>
      </c>
      <c r="G65" s="34">
        <v>0.29038490700000003</v>
      </c>
      <c r="H65" s="34">
        <v>-0.90687498500000008</v>
      </c>
      <c r="I65" s="34">
        <v>-3.4437691999999999E-2</v>
      </c>
      <c r="J65" s="34">
        <v>-3.0993201300000002E-2</v>
      </c>
      <c r="K65" s="34">
        <v>-0.81544054700000002</v>
      </c>
    </row>
    <row r="66" spans="1:11" ht="39.6">
      <c r="A66" s="9" t="s">
        <v>74</v>
      </c>
      <c r="B66" s="34">
        <v>5</v>
      </c>
      <c r="C66" s="34">
        <v>-0.20487016100000002</v>
      </c>
      <c r="D66" s="34">
        <v>-0.45489711400000005</v>
      </c>
      <c r="E66" s="34">
        <v>-0.25665674999999999</v>
      </c>
      <c r="F66" s="34">
        <v>-8.3208350799999997E-2</v>
      </c>
      <c r="G66" s="34">
        <v>4.6001569400000004E-2</v>
      </c>
      <c r="H66" s="34">
        <v>0.8315346010000001</v>
      </c>
      <c r="I66" s="34">
        <v>0.52848612000000006</v>
      </c>
      <c r="J66" s="34">
        <v>-0.398586985</v>
      </c>
      <c r="K66" s="34">
        <v>-0.25850105000000001</v>
      </c>
    </row>
    <row r="67" spans="1:11" ht="26.4">
      <c r="A67" s="9" t="s">
        <v>75</v>
      </c>
      <c r="B67" s="34">
        <v>5</v>
      </c>
      <c r="C67" s="34">
        <v>0.55004594600000001</v>
      </c>
      <c r="D67" s="34">
        <v>-0.42283323100000003</v>
      </c>
      <c r="E67" s="34">
        <v>0.36845829400000002</v>
      </c>
      <c r="F67" s="34">
        <v>9.3033670700000001E-2</v>
      </c>
      <c r="G67" s="34">
        <v>-0.60568732999999997</v>
      </c>
      <c r="H67" s="34">
        <v>-9.2082690800000006E-2</v>
      </c>
      <c r="I67" s="34">
        <v>0.30331659500000002</v>
      </c>
      <c r="J67" s="34">
        <v>0.36723339700000002</v>
      </c>
      <c r="K67" s="34">
        <v>0.285177984</v>
      </c>
    </row>
    <row r="68" spans="1:11" ht="39.6">
      <c r="A68" s="9" t="s">
        <v>76</v>
      </c>
      <c r="B68" s="34">
        <v>5</v>
      </c>
      <c r="C68" s="34">
        <v>-0.63322143600000003</v>
      </c>
      <c r="D68" s="34">
        <v>-6.8736436499999998E-2</v>
      </c>
      <c r="E68" s="34">
        <v>-0.69611361400000005</v>
      </c>
      <c r="F68" s="34">
        <v>-0.30644824500000001</v>
      </c>
      <c r="G68" s="34">
        <v>-0.68714844200000003</v>
      </c>
      <c r="H68" s="34">
        <v>0.19253653500000001</v>
      </c>
      <c r="I68" s="34">
        <v>0.24702421400000002</v>
      </c>
      <c r="J68" s="34">
        <v>0.41318262</v>
      </c>
      <c r="K68" s="34">
        <v>0.32495937600000002</v>
      </c>
    </row>
    <row r="69" spans="1:11" ht="39.6">
      <c r="A69" s="9" t="s">
        <v>77</v>
      </c>
      <c r="B69" s="34">
        <v>5</v>
      </c>
      <c r="C69" s="34">
        <v>-0.24304007700000002</v>
      </c>
      <c r="D69" s="34">
        <v>-1.82050691E-3</v>
      </c>
      <c r="E69" s="34">
        <v>-0.70006378899999999</v>
      </c>
      <c r="F69" s="34">
        <v>-0.11845675500000001</v>
      </c>
      <c r="G69" s="34">
        <v>0.331115463</v>
      </c>
      <c r="H69" s="34">
        <v>-0.61667499000000003</v>
      </c>
      <c r="I69" s="34">
        <v>-0.54106912299999999</v>
      </c>
      <c r="J69" s="34">
        <v>0.68887795800000007</v>
      </c>
      <c r="K69" s="34">
        <v>-0.76239869000000005</v>
      </c>
    </row>
    <row r="70" spans="1:11" ht="39.6">
      <c r="A70" s="9" t="s">
        <v>78</v>
      </c>
      <c r="B70" s="34">
        <v>5</v>
      </c>
      <c r="C70" s="34">
        <v>-0.34058541600000003</v>
      </c>
      <c r="D70" s="34">
        <v>-0.14122869400000002</v>
      </c>
      <c r="E70" s="34">
        <v>1.7910147300000001</v>
      </c>
      <c r="F70" s="34">
        <v>-0.41219345800000001</v>
      </c>
      <c r="G70" s="34">
        <v>-0.64641788600000005</v>
      </c>
      <c r="H70" s="34">
        <v>0.19253653500000001</v>
      </c>
      <c r="I70" s="34">
        <v>0.13443945200000001</v>
      </c>
      <c r="J70" s="34">
        <v>1.40874912</v>
      </c>
      <c r="K70" s="34">
        <v>0.85537794500000008</v>
      </c>
    </row>
    <row r="71" spans="1:11" ht="39.6">
      <c r="A71" s="9" t="s">
        <v>79</v>
      </c>
      <c r="B71" s="34">
        <v>5</v>
      </c>
      <c r="C71" s="34">
        <v>-0.55688160500000006</v>
      </c>
      <c r="D71" s="34">
        <v>0.15431666200000002</v>
      </c>
      <c r="E71" s="34">
        <v>0.69286633900000005</v>
      </c>
      <c r="F71" s="34">
        <v>-0.42864271300000001</v>
      </c>
      <c r="G71" s="34">
        <v>-0.93153178000000003</v>
      </c>
      <c r="H71" s="34">
        <v>-1.0017480599999999</v>
      </c>
      <c r="I71" s="34">
        <v>0.35960897600000002</v>
      </c>
      <c r="J71" s="34">
        <v>0.35191698999999999</v>
      </c>
      <c r="K71" s="34">
        <v>0.112791949</v>
      </c>
    </row>
    <row r="72" spans="1:11" ht="92.4">
      <c r="A72" s="12" t="s">
        <v>80</v>
      </c>
      <c r="B72" s="34">
        <v>5</v>
      </c>
      <c r="C72" s="34">
        <v>0.60518026899999999</v>
      </c>
      <c r="D72" s="34">
        <v>-0.67795021300000002</v>
      </c>
      <c r="E72" s="34">
        <v>7.0173680299999994E-3</v>
      </c>
      <c r="F72" s="34">
        <v>-0.71062994800000001</v>
      </c>
      <c r="G72" s="34">
        <v>-1.1351845599999999</v>
      </c>
      <c r="H72" s="34">
        <v>-0.89013267700000009</v>
      </c>
      <c r="I72" s="34">
        <v>-0.54106912299999999</v>
      </c>
      <c r="J72" s="34">
        <v>-0.30668853900000004</v>
      </c>
      <c r="K72" s="34">
        <v>0.271917519</v>
      </c>
    </row>
    <row r="73" spans="1:11" ht="39.6">
      <c r="A73" s="9" t="s">
        <v>83</v>
      </c>
      <c r="B73" s="34">
        <v>5</v>
      </c>
      <c r="C73" s="34">
        <v>0.44401840300000001</v>
      </c>
      <c r="D73" s="34">
        <v>0.59902877799999998</v>
      </c>
      <c r="E73" s="34">
        <v>0.615837945</v>
      </c>
      <c r="F73" s="34">
        <v>-0.149005372</v>
      </c>
      <c r="G73" s="34">
        <v>-3.5459543000000003E-2</v>
      </c>
      <c r="H73" s="34">
        <v>9.7663459899999999E-2</v>
      </c>
      <c r="I73" s="34">
        <v>-0.48477674200000004</v>
      </c>
      <c r="J73" s="34">
        <v>0.36723339700000002</v>
      </c>
      <c r="K73" s="34">
        <v>0.52386633999999999</v>
      </c>
    </row>
    <row r="74" spans="1:11" ht="26.4">
      <c r="A74" s="9" t="s">
        <v>84</v>
      </c>
      <c r="B74" s="34">
        <v>5</v>
      </c>
      <c r="C74" s="34">
        <v>0.26165102900000003</v>
      </c>
      <c r="D74" s="34">
        <v>0.33554730500000002</v>
      </c>
      <c r="E74" s="34">
        <v>0.46326247200000004</v>
      </c>
      <c r="F74" s="34">
        <v>-0.62133399</v>
      </c>
      <c r="G74" s="34">
        <v>-0.72787899900000008</v>
      </c>
      <c r="H74" s="34">
        <v>1.86118651</v>
      </c>
      <c r="I74" s="34">
        <v>-0.259607217</v>
      </c>
      <c r="J74" s="34">
        <v>3.0272429200000003E-2</v>
      </c>
      <c r="K74" s="34">
        <v>-1.2530358699999999</v>
      </c>
    </row>
    <row r="75" spans="1:11" ht="26.4">
      <c r="A75" s="9" t="s">
        <v>85</v>
      </c>
      <c r="B75" s="34">
        <v>5</v>
      </c>
      <c r="C75" s="34">
        <v>-1.3287621199999999</v>
      </c>
      <c r="D75" s="34">
        <v>2.3617386899999998E-3</v>
      </c>
      <c r="E75" s="34">
        <v>-0.91880467700000001</v>
      </c>
      <c r="F75" s="34">
        <v>-0.68948090500000003</v>
      </c>
      <c r="G75" s="34">
        <v>-0.52422621800000002</v>
      </c>
      <c r="H75" s="34">
        <v>1.4286768999999999</v>
      </c>
      <c r="I75" s="34">
        <v>-0.147022454</v>
      </c>
      <c r="J75" s="34">
        <v>-0.41390339200000004</v>
      </c>
      <c r="K75" s="34">
        <v>-0.25850105000000001</v>
      </c>
    </row>
    <row r="76" spans="1:11" ht="39.6">
      <c r="A76" s="9" t="s">
        <v>86</v>
      </c>
      <c r="B76" s="34">
        <v>5</v>
      </c>
      <c r="C76" s="34">
        <v>1.46188282</v>
      </c>
      <c r="D76" s="34">
        <v>0.68406777200000002</v>
      </c>
      <c r="E76" s="34">
        <v>0.24402781200000001</v>
      </c>
      <c r="F76" s="34">
        <v>-0.51558877700000005</v>
      </c>
      <c r="G76" s="34">
        <v>-1.42029845</v>
      </c>
      <c r="H76" s="34">
        <v>-0.15905192000000001</v>
      </c>
      <c r="I76" s="34">
        <v>-0.147022454</v>
      </c>
      <c r="J76" s="34">
        <v>-0.35263776200000002</v>
      </c>
      <c r="K76" s="34">
        <v>-0.41762662</v>
      </c>
    </row>
    <row r="77" spans="1:11" ht="26.4">
      <c r="A77" s="9" t="s">
        <v>87</v>
      </c>
      <c r="B77" s="34">
        <v>5</v>
      </c>
      <c r="C77" s="34">
        <v>-0.89616974300000007</v>
      </c>
      <c r="D77" s="34">
        <v>0.56557081300000001</v>
      </c>
      <c r="E77" s="34">
        <v>1.1970073000000001</v>
      </c>
      <c r="F77" s="34">
        <v>-0.28529920200000003</v>
      </c>
      <c r="G77" s="34">
        <v>-0.68714844200000003</v>
      </c>
      <c r="H77" s="34">
        <v>0.11719615200000001</v>
      </c>
      <c r="I77" s="34">
        <v>-0.37219197900000001</v>
      </c>
      <c r="J77" s="34">
        <v>0.55103028900000006</v>
      </c>
      <c r="K77" s="34">
        <v>-4.6333622000000005E-2</v>
      </c>
    </row>
    <row r="78" spans="1:11" ht="26.4">
      <c r="A78" s="9" t="s">
        <v>88</v>
      </c>
      <c r="B78" s="34">
        <v>5</v>
      </c>
      <c r="C78" s="34">
        <v>0.21499891000000002</v>
      </c>
      <c r="D78" s="34">
        <v>0.30905974899999999</v>
      </c>
      <c r="E78" s="34">
        <v>0.193169321</v>
      </c>
      <c r="F78" s="34">
        <v>-0.71062994800000001</v>
      </c>
      <c r="G78" s="34">
        <v>0.12746268200000002</v>
      </c>
      <c r="H78" s="34">
        <v>0.29019999500000004</v>
      </c>
      <c r="I78" s="34">
        <v>-9.0730073300000005E-2</v>
      </c>
      <c r="J78" s="34">
        <v>7.6221652100000009E-2</v>
      </c>
      <c r="K78" s="34">
        <v>0.21887566200000003</v>
      </c>
    </row>
    <row r="79" spans="1:11" ht="26.4">
      <c r="A79" s="9" t="s">
        <v>89</v>
      </c>
      <c r="B79" s="34">
        <v>5</v>
      </c>
      <c r="C79" s="34">
        <v>-0.57808711300000004</v>
      </c>
      <c r="D79" s="34">
        <v>8.3218487000000008E-2</v>
      </c>
      <c r="E79" s="34">
        <v>0.66867152299999999</v>
      </c>
      <c r="F79" s="34">
        <v>-0.661282182</v>
      </c>
      <c r="G79" s="34">
        <v>0.331115463</v>
      </c>
      <c r="H79" s="34">
        <v>-6.4178845100000007E-2</v>
      </c>
      <c r="I79" s="34">
        <v>-0.42848436100000004</v>
      </c>
      <c r="J79" s="34">
        <v>0.58166310399999999</v>
      </c>
      <c r="K79" s="34">
        <v>8.6271020200000006E-2</v>
      </c>
    </row>
    <row r="80" spans="1:11" ht="39.6">
      <c r="A80" s="9" t="s">
        <v>90</v>
      </c>
      <c r="B80" s="34">
        <v>5</v>
      </c>
      <c r="C80" s="34">
        <v>-0.66715024900000008</v>
      </c>
      <c r="D80" s="34">
        <v>-4.3642962899999999E-2</v>
      </c>
      <c r="E80" s="34">
        <v>-0.33961040600000003</v>
      </c>
      <c r="F80" s="34">
        <v>-0.301748458</v>
      </c>
      <c r="G80" s="34">
        <v>-0.11692065500000001</v>
      </c>
      <c r="H80" s="34">
        <v>-0.29578076400000003</v>
      </c>
      <c r="I80" s="34">
        <v>-0.59736150399999999</v>
      </c>
      <c r="J80" s="34">
        <v>6.0905244500000004E-2</v>
      </c>
      <c r="K80" s="34">
        <v>8.6271020200000006E-2</v>
      </c>
    </row>
    <row r="81" spans="1:70" ht="39.6">
      <c r="A81" s="9" t="s">
        <v>91</v>
      </c>
      <c r="B81" s="34">
        <v>5</v>
      </c>
      <c r="C81" s="34">
        <v>-0.56960491000000002</v>
      </c>
      <c r="D81" s="34">
        <v>-0.26530197999999999</v>
      </c>
      <c r="E81" s="34">
        <v>7.5111397899999995E-3</v>
      </c>
      <c r="F81" s="34">
        <v>-0.47094079800000005</v>
      </c>
      <c r="G81" s="34">
        <v>-0.52422621800000002</v>
      </c>
      <c r="H81" s="34">
        <v>-0.11719615200000001</v>
      </c>
      <c r="I81" s="34">
        <v>0.13443945200000001</v>
      </c>
      <c r="J81" s="34">
        <v>-6.16260166E-2</v>
      </c>
      <c r="K81" s="34">
        <v>0.47082448300000002</v>
      </c>
    </row>
    <row r="82" spans="1:70" ht="26.4">
      <c r="A82" s="9" t="s">
        <v>92</v>
      </c>
      <c r="B82" s="34">
        <v>5</v>
      </c>
      <c r="C82" s="34">
        <v>-0.10308372</v>
      </c>
      <c r="D82" s="34">
        <v>-0.38798118400000003</v>
      </c>
      <c r="E82" s="34">
        <v>-0.23344947800000002</v>
      </c>
      <c r="F82" s="34">
        <v>-0.50148941499999999</v>
      </c>
      <c r="G82" s="34">
        <v>1.06426547</v>
      </c>
      <c r="H82" s="34">
        <v>1.16079998</v>
      </c>
      <c r="I82" s="34">
        <v>-0.20331483600000003</v>
      </c>
      <c r="J82" s="34">
        <v>2.0367218299999998</v>
      </c>
      <c r="K82" s="34">
        <v>-5.9594086300000002E-2</v>
      </c>
    </row>
    <row r="83" spans="1:70" ht="39.6">
      <c r="A83" s="9" t="s">
        <v>94</v>
      </c>
      <c r="B83" s="34">
        <v>5</v>
      </c>
      <c r="C83" s="34">
        <v>2.8390433900000001E-2</v>
      </c>
      <c r="D83" s="34">
        <v>-0.31827709100000001</v>
      </c>
      <c r="E83" s="34">
        <v>-0.69710115800000005</v>
      </c>
      <c r="F83" s="34">
        <v>-0.67538154300000008</v>
      </c>
      <c r="G83" s="34">
        <v>0.9828043620000001</v>
      </c>
      <c r="H83" s="34">
        <v>0.19253653500000001</v>
      </c>
      <c r="I83" s="34">
        <v>0.92253278900000002</v>
      </c>
      <c r="J83" s="34">
        <v>2.2205187199999998</v>
      </c>
      <c r="K83" s="34">
        <v>0.66973144600000001</v>
      </c>
    </row>
    <row r="84" spans="1:70" ht="39.6">
      <c r="A84" s="9" t="s">
        <v>95</v>
      </c>
      <c r="B84" s="34">
        <v>5</v>
      </c>
      <c r="C84" s="34">
        <v>-0.34906762000000002</v>
      </c>
      <c r="D84" s="34">
        <v>-4.2248881100000003E-2</v>
      </c>
      <c r="E84" s="34">
        <v>1.3485952299999999</v>
      </c>
      <c r="F84" s="34">
        <v>-0.72919410700000009</v>
      </c>
      <c r="G84" s="34">
        <v>-1.25737623</v>
      </c>
      <c r="H84" s="34">
        <v>-0.74503268</v>
      </c>
      <c r="I84" s="34">
        <v>-1.1039929399999999</v>
      </c>
      <c r="J84" s="34">
        <v>-0.58238387600000008</v>
      </c>
      <c r="K84" s="34">
        <v>0.152573341</v>
      </c>
    </row>
    <row r="85" spans="1:70" ht="26.4">
      <c r="A85" s="9" t="s">
        <v>96</v>
      </c>
      <c r="B85" s="34">
        <v>5</v>
      </c>
      <c r="C85" s="34">
        <v>-0.80286550500000009</v>
      </c>
      <c r="D85" s="34">
        <v>0.19892728200000001</v>
      </c>
      <c r="E85" s="34">
        <v>-0.420588974</v>
      </c>
      <c r="F85" s="34">
        <v>-0.65658239400000007</v>
      </c>
      <c r="G85" s="34">
        <v>-0.68714844200000003</v>
      </c>
      <c r="H85" s="34">
        <v>-3.34846148E-2</v>
      </c>
      <c r="I85" s="34">
        <v>-0.99140817300000006</v>
      </c>
      <c r="J85" s="34">
        <v>-0.49048543</v>
      </c>
      <c r="K85" s="34">
        <v>0.51060587499999999</v>
      </c>
    </row>
    <row r="86" spans="1:70" ht="26.4">
      <c r="A86" s="9" t="s">
        <v>98</v>
      </c>
      <c r="B86" s="34">
        <v>5</v>
      </c>
      <c r="C86" s="34">
        <v>-0.74349008100000002</v>
      </c>
      <c r="D86" s="34">
        <v>-0.44792670400000001</v>
      </c>
      <c r="E86" s="34">
        <v>6.6269978899999998E-2</v>
      </c>
      <c r="F86" s="34">
        <v>-0.51793867100000002</v>
      </c>
      <c r="G86" s="34">
        <v>-0.48349566100000002</v>
      </c>
      <c r="H86" s="34">
        <v>0.91803652300000005</v>
      </c>
      <c r="I86" s="34">
        <v>-0.59736150399999999</v>
      </c>
      <c r="J86" s="34">
        <v>-0.505801838</v>
      </c>
      <c r="K86" s="34">
        <v>0.98798258700000008</v>
      </c>
    </row>
    <row r="87" spans="1:70" ht="26.4">
      <c r="A87" s="9" t="s">
        <v>99</v>
      </c>
      <c r="B87" s="34">
        <v>5</v>
      </c>
      <c r="C87" s="34">
        <v>-0.382996434</v>
      </c>
      <c r="D87" s="34">
        <v>0.53490101200000006</v>
      </c>
      <c r="E87" s="34">
        <v>-0.80968111900000006</v>
      </c>
      <c r="F87" s="34">
        <v>-0.70828005400000005</v>
      </c>
      <c r="G87" s="34">
        <v>-0.89080122300000009</v>
      </c>
      <c r="H87" s="34">
        <v>3.9065384000000002E-2</v>
      </c>
      <c r="I87" s="34">
        <v>-0.99140817300000006</v>
      </c>
      <c r="J87" s="34">
        <v>-0.10757524</v>
      </c>
      <c r="K87" s="34">
        <v>0.112791949</v>
      </c>
    </row>
    <row r="88" spans="1:70" ht="26.4">
      <c r="A88" s="9" t="s">
        <v>100</v>
      </c>
      <c r="B88" s="34">
        <v>5</v>
      </c>
      <c r="C88" s="34">
        <v>-0.66715024900000008</v>
      </c>
      <c r="D88" s="34">
        <v>0.18219829999999998</v>
      </c>
      <c r="E88" s="34">
        <v>0.208476245</v>
      </c>
      <c r="F88" s="34">
        <v>-0.651882607</v>
      </c>
      <c r="G88" s="34">
        <v>-0.36130399300000005</v>
      </c>
      <c r="H88" s="34">
        <v>1.42588651</v>
      </c>
      <c r="I88" s="34">
        <v>-1.1602853200000001</v>
      </c>
      <c r="J88" s="34">
        <v>-0.23010650100000002</v>
      </c>
      <c r="K88" s="34">
        <v>0.56364773200000007</v>
      </c>
    </row>
    <row r="89" spans="1:70" ht="66">
      <c r="A89" s="9" t="s">
        <v>103</v>
      </c>
      <c r="B89" s="34">
        <v>5</v>
      </c>
      <c r="C89" s="34">
        <v>-0.78590109800000008</v>
      </c>
      <c r="D89" s="34">
        <v>9.1582978199999998E-2</v>
      </c>
      <c r="E89" s="34">
        <v>-0.72969009400000007</v>
      </c>
      <c r="F89" s="34">
        <v>-0.57198622399999999</v>
      </c>
      <c r="G89" s="34">
        <v>-0.48349566100000002</v>
      </c>
      <c r="H89" s="34">
        <v>1.28915767</v>
      </c>
      <c r="I89" s="34">
        <v>-1.7232091299999999</v>
      </c>
      <c r="J89" s="34">
        <v>1.83760853</v>
      </c>
      <c r="K89" s="34">
        <v>-1.1999940099999999</v>
      </c>
    </row>
    <row r="90" spans="1:70">
      <c r="A90" s="24" t="s">
        <v>114</v>
      </c>
      <c r="B90" s="38"/>
      <c r="C90" s="38">
        <f>AVERAGE(C23:C89)</f>
        <v>0.11232626787791038</v>
      </c>
      <c r="D90" s="38">
        <f t="shared" ref="D90:K90" si="1">AVERAGE(D23:D89)</f>
        <v>-0.24120725138492546</v>
      </c>
      <c r="E90" s="38">
        <f t="shared" si="1"/>
        <v>-0.1468551771877612</v>
      </c>
      <c r="F90" s="38">
        <f t="shared" si="1"/>
        <v>-3.5961459852388043E-2</v>
      </c>
      <c r="G90" s="38">
        <f t="shared" si="1"/>
        <v>-0.16008288646776114</v>
      </c>
      <c r="H90" s="38">
        <f t="shared" si="1"/>
        <v>-3.3151434705373128E-2</v>
      </c>
      <c r="I90" s="38">
        <f t="shared" si="1"/>
        <v>0.19325238695820893</v>
      </c>
      <c r="J90" s="38">
        <f t="shared" si="1"/>
        <v>0.14937464374235823</v>
      </c>
      <c r="K90" s="38">
        <f t="shared" si="1"/>
        <v>0.1329795205865672</v>
      </c>
    </row>
    <row r="91" spans="1:70">
      <c r="A91" s="9"/>
      <c r="B91" s="34"/>
      <c r="C91" s="39">
        <v>1.7906569999999999</v>
      </c>
      <c r="D91" s="39">
        <v>2.1019009999999998</v>
      </c>
      <c r="E91" s="39">
        <v>2.6935180000000001</v>
      </c>
      <c r="F91" s="39">
        <v>1.4175120000000001</v>
      </c>
      <c r="G91" s="39">
        <v>1.9737260000000001</v>
      </c>
      <c r="H91" s="39">
        <v>1.939308</v>
      </c>
      <c r="I91" s="39">
        <v>3.0480860000000001</v>
      </c>
      <c r="J91" s="39">
        <v>1.777809</v>
      </c>
      <c r="K91" s="39">
        <v>2.1890580000000002</v>
      </c>
      <c r="L91" s="39">
        <v>3.43424</v>
      </c>
      <c r="M91" s="39">
        <v>2.2358159999999998</v>
      </c>
      <c r="N91" s="39">
        <v>1.192898</v>
      </c>
      <c r="O91" s="39">
        <v>1.893573</v>
      </c>
      <c r="P91" s="39">
        <v>3.041804</v>
      </c>
      <c r="Q91" s="39">
        <v>1.440742</v>
      </c>
      <c r="R91" s="39">
        <v>2.0870920000000002</v>
      </c>
      <c r="S91" s="39">
        <v>1.813429</v>
      </c>
      <c r="T91" s="39">
        <v>2.4888569999999999</v>
      </c>
      <c r="U91" s="39">
        <v>1.8089409999999999</v>
      </c>
      <c r="V91" s="39">
        <v>2.9592079999999998</v>
      </c>
      <c r="W91" s="39">
        <v>3.1119180000000002</v>
      </c>
      <c r="X91" s="39">
        <v>2.6623510000000001</v>
      </c>
      <c r="Y91" s="39">
        <v>1.9068309999999999</v>
      </c>
      <c r="Z91" s="39">
        <v>1.6385050000000001</v>
      </c>
      <c r="AA91" s="39">
        <v>1.995107</v>
      </c>
      <c r="AB91" s="39">
        <v>1.8603700000000001</v>
      </c>
      <c r="AC91" s="39">
        <v>3.852535</v>
      </c>
      <c r="AD91" s="39">
        <v>3.5996640000000002</v>
      </c>
      <c r="AE91" s="39">
        <v>5.3352589999999998</v>
      </c>
      <c r="AF91" s="39">
        <v>3.3009439999999999</v>
      </c>
      <c r="AG91" s="39">
        <v>2.8507470000000001</v>
      </c>
      <c r="AH91" s="39">
        <v>4.3348829999999996</v>
      </c>
      <c r="AI91" s="39">
        <v>2.7549239999999999</v>
      </c>
      <c r="AJ91" s="39">
        <v>2.0066419999999998</v>
      </c>
      <c r="AK91" s="39">
        <v>1.8529880000000001</v>
      </c>
      <c r="AL91" s="39">
        <v>2.5838489999999998</v>
      </c>
      <c r="AM91" s="39">
        <v>3.5752679999999999</v>
      </c>
      <c r="AN91" s="39">
        <v>2.0018440000000002</v>
      </c>
      <c r="AO91" s="39">
        <v>1.7866610000000001</v>
      </c>
      <c r="AP91" s="39">
        <v>1.2169719999999999</v>
      </c>
      <c r="AQ91" s="39">
        <v>2.0377800000000001</v>
      </c>
      <c r="AR91" s="39">
        <v>2.0607060000000001</v>
      </c>
      <c r="AS91" s="39">
        <v>1.73393</v>
      </c>
      <c r="AT91" s="39">
        <v>1.231511</v>
      </c>
      <c r="AU91" s="39">
        <v>0.88969169999999997</v>
      </c>
      <c r="AV91" s="39">
        <v>1.1825870000000001</v>
      </c>
      <c r="AW91" s="39">
        <v>1.6462699999999999</v>
      </c>
      <c r="AX91" s="39">
        <v>2.5516299999999998</v>
      </c>
      <c r="AY91" s="39">
        <v>1.7510079999999999</v>
      </c>
      <c r="AZ91" s="39">
        <v>1.834195</v>
      </c>
      <c r="BA91" s="39">
        <v>1.450213</v>
      </c>
      <c r="BB91" s="39">
        <v>2.6685319999999999</v>
      </c>
      <c r="BC91" s="39">
        <v>2.452534</v>
      </c>
      <c r="BD91" s="39">
        <v>2.309812</v>
      </c>
      <c r="BE91" s="39">
        <v>2.0855939999999999</v>
      </c>
      <c r="BF91" s="39">
        <v>1.0792330000000001</v>
      </c>
      <c r="BG91" s="39">
        <v>1.567126</v>
      </c>
      <c r="BH91" s="39">
        <v>1.2084410000000001</v>
      </c>
      <c r="BI91" s="39">
        <v>0.99016669999999996</v>
      </c>
      <c r="BJ91" s="39">
        <v>2.6406700000000001</v>
      </c>
      <c r="BK91" s="39">
        <v>2.6816659999999999</v>
      </c>
      <c r="BL91" s="39">
        <v>2.6265830000000001</v>
      </c>
      <c r="BM91" s="39">
        <v>1.929932</v>
      </c>
      <c r="BN91" s="39">
        <v>1.961527</v>
      </c>
      <c r="BO91" s="39">
        <v>1.935989</v>
      </c>
      <c r="BP91" s="39">
        <v>2.3713500000000001</v>
      </c>
      <c r="BQ91" s="39">
        <v>3.4201540000000001</v>
      </c>
      <c r="BR91" s="39">
        <v>1E-35</v>
      </c>
    </row>
    <row r="92" spans="1:70">
      <c r="A92" s="9"/>
      <c r="B92" s="34"/>
      <c r="C92" s="34">
        <f>C91*C91</f>
        <v>3.2064524916489998</v>
      </c>
      <c r="D92" s="34">
        <f t="shared" ref="D92:BO92" si="2">D91*D91</f>
        <v>4.4179878138009991</v>
      </c>
      <c r="E92" s="34">
        <f t="shared" si="2"/>
        <v>7.2550392163240005</v>
      </c>
      <c r="F92" s="34">
        <f t="shared" si="2"/>
        <v>2.0093402701440004</v>
      </c>
      <c r="G92" s="34">
        <f t="shared" si="2"/>
        <v>3.8955943230760002</v>
      </c>
      <c r="H92" s="34">
        <f t="shared" si="2"/>
        <v>3.760915518864</v>
      </c>
      <c r="I92" s="34">
        <f t="shared" si="2"/>
        <v>9.2908282633960013</v>
      </c>
      <c r="J92" s="34">
        <f t="shared" si="2"/>
        <v>3.1606048404810001</v>
      </c>
      <c r="K92" s="34">
        <f t="shared" si="2"/>
        <v>4.7919749273640004</v>
      </c>
      <c r="L92" s="34">
        <f t="shared" si="2"/>
        <v>11.7940043776</v>
      </c>
      <c r="M92" s="34">
        <f t="shared" si="2"/>
        <v>4.9988731858559987</v>
      </c>
      <c r="N92" s="34">
        <f t="shared" si="2"/>
        <v>1.423005638404</v>
      </c>
      <c r="O92" s="34">
        <f t="shared" si="2"/>
        <v>3.5856187063289999</v>
      </c>
      <c r="P92" s="34">
        <f t="shared" si="2"/>
        <v>9.2525715744159989</v>
      </c>
      <c r="Q92" s="34">
        <f t="shared" si="2"/>
        <v>2.0757375105639997</v>
      </c>
      <c r="R92" s="34">
        <f t="shared" si="2"/>
        <v>4.3559530164640003</v>
      </c>
      <c r="S92" s="34">
        <f t="shared" si="2"/>
        <v>3.2885247380409997</v>
      </c>
      <c r="T92" s="34">
        <f t="shared" si="2"/>
        <v>6.1944091664489997</v>
      </c>
      <c r="U92" s="34">
        <f t="shared" si="2"/>
        <v>3.2722675414809999</v>
      </c>
      <c r="V92" s="34">
        <f t="shared" si="2"/>
        <v>8.7569119872639991</v>
      </c>
      <c r="W92" s="34">
        <f t="shared" si="2"/>
        <v>9.6840336387240011</v>
      </c>
      <c r="X92" s="34">
        <f t="shared" si="2"/>
        <v>7.0881128472010007</v>
      </c>
      <c r="Y92" s="34">
        <f t="shared" si="2"/>
        <v>3.636004462561</v>
      </c>
      <c r="Z92" s="34">
        <f t="shared" si="2"/>
        <v>2.6846986350250002</v>
      </c>
      <c r="AA92" s="34">
        <f t="shared" si="2"/>
        <v>3.9804519414490001</v>
      </c>
      <c r="AB92" s="34">
        <f t="shared" si="2"/>
        <v>3.4609765369000005</v>
      </c>
      <c r="AC92" s="34">
        <f t="shared" si="2"/>
        <v>14.842025926225</v>
      </c>
      <c r="AD92" s="34">
        <f t="shared" si="2"/>
        <v>12.957580912896001</v>
      </c>
      <c r="AE92" s="34">
        <f t="shared" si="2"/>
        <v>28.464988597080996</v>
      </c>
      <c r="AF92" s="34">
        <f t="shared" si="2"/>
        <v>10.896231291135999</v>
      </c>
      <c r="AG92" s="34">
        <f t="shared" si="2"/>
        <v>8.1267584580090002</v>
      </c>
      <c r="AH92" s="34">
        <f t="shared" si="2"/>
        <v>18.791210623688997</v>
      </c>
      <c r="AI92" s="34">
        <f t="shared" si="2"/>
        <v>7.5896062457759994</v>
      </c>
      <c r="AJ92" s="34">
        <f t="shared" si="2"/>
        <v>4.0266121161639994</v>
      </c>
      <c r="AK92" s="34">
        <f t="shared" si="2"/>
        <v>3.4335645281440001</v>
      </c>
      <c r="AL92" s="34">
        <f t="shared" si="2"/>
        <v>6.6762756548009996</v>
      </c>
      <c r="AM92" s="34">
        <f t="shared" si="2"/>
        <v>12.782541271824</v>
      </c>
      <c r="AN92" s="34">
        <f t="shared" si="2"/>
        <v>4.007379400336001</v>
      </c>
      <c r="AO92" s="34">
        <f t="shared" si="2"/>
        <v>3.1921575289210002</v>
      </c>
      <c r="AP92" s="34">
        <f t="shared" si="2"/>
        <v>1.4810208487839998</v>
      </c>
      <c r="AQ92" s="34">
        <f t="shared" si="2"/>
        <v>4.1525473284000007</v>
      </c>
      <c r="AR92" s="34">
        <f t="shared" si="2"/>
        <v>4.2465092184360005</v>
      </c>
      <c r="AS92" s="34">
        <f t="shared" si="2"/>
        <v>3.0065132448999998</v>
      </c>
      <c r="AT92" s="34">
        <f t="shared" si="2"/>
        <v>1.516619343121</v>
      </c>
      <c r="AU92" s="34">
        <f t="shared" si="2"/>
        <v>0.79155132104888992</v>
      </c>
      <c r="AV92" s="34">
        <f t="shared" si="2"/>
        <v>1.398512012569</v>
      </c>
      <c r="AW92" s="34">
        <f t="shared" si="2"/>
        <v>2.7102049128999997</v>
      </c>
      <c r="AX92" s="34">
        <f t="shared" si="2"/>
        <v>6.5108156568999993</v>
      </c>
      <c r="AY92" s="34">
        <f t="shared" si="2"/>
        <v>3.0660290160639998</v>
      </c>
      <c r="AZ92" s="34">
        <f t="shared" si="2"/>
        <v>3.3642712980250002</v>
      </c>
      <c r="BA92" s="34">
        <f t="shared" si="2"/>
        <v>2.103117745369</v>
      </c>
      <c r="BB92" s="34">
        <f t="shared" si="2"/>
        <v>7.1210630350239992</v>
      </c>
      <c r="BC92" s="34">
        <f t="shared" si="2"/>
        <v>6.0149230211560001</v>
      </c>
      <c r="BD92" s="34">
        <f t="shared" si="2"/>
        <v>5.335231475344</v>
      </c>
      <c r="BE92" s="34">
        <f t="shared" si="2"/>
        <v>4.3497023328359994</v>
      </c>
      <c r="BF92" s="34">
        <f t="shared" si="2"/>
        <v>1.1647438682890003</v>
      </c>
      <c r="BG92" s="34">
        <f t="shared" si="2"/>
        <v>2.455883899876</v>
      </c>
      <c r="BH92" s="34">
        <f t="shared" si="2"/>
        <v>1.4603296504810002</v>
      </c>
      <c r="BI92" s="34">
        <f t="shared" si="2"/>
        <v>0.9804300937888899</v>
      </c>
      <c r="BJ92" s="34">
        <f t="shared" si="2"/>
        <v>6.9731380489000001</v>
      </c>
      <c r="BK92" s="34">
        <f t="shared" si="2"/>
        <v>7.1913325355559996</v>
      </c>
      <c r="BL92" s="34">
        <f t="shared" si="2"/>
        <v>6.8989382558890009</v>
      </c>
      <c r="BM92" s="34">
        <f t="shared" si="2"/>
        <v>3.7246375246239998</v>
      </c>
      <c r="BN92" s="34">
        <f t="shared" si="2"/>
        <v>3.8475881717289999</v>
      </c>
      <c r="BO92" s="34">
        <f t="shared" si="2"/>
        <v>3.7480534081209997</v>
      </c>
      <c r="BP92" s="34">
        <f t="shared" ref="BP92:BR92" si="3">BP91*BP91</f>
        <v>5.6233008225000001</v>
      </c>
      <c r="BQ92" s="34">
        <f t="shared" si="3"/>
        <v>11.697453383716001</v>
      </c>
      <c r="BR92" s="34">
        <f t="shared" si="3"/>
        <v>1E-70</v>
      </c>
    </row>
    <row r="93" spans="1:70">
      <c r="A93" s="40" t="s">
        <v>120</v>
      </c>
      <c r="B93" s="41">
        <f>SUM(C92:BR92)</f>
        <v>380.04228719917575</v>
      </c>
      <c r="C93" s="34"/>
      <c r="D93" s="34"/>
      <c r="E93" s="34"/>
      <c r="F93" s="34"/>
      <c r="G93" s="34"/>
      <c r="H93" s="34"/>
      <c r="I93" s="34"/>
      <c r="J93" s="34"/>
      <c r="K93" s="34"/>
    </row>
    <row r="94" spans="1:70" ht="39.6">
      <c r="A94" s="9" t="s">
        <v>38</v>
      </c>
      <c r="B94" s="34">
        <v>6</v>
      </c>
      <c r="C94" s="34">
        <v>-0.21759346600000001</v>
      </c>
      <c r="D94" s="34">
        <v>0.67012695300000003</v>
      </c>
      <c r="E94" s="34">
        <v>3.1982642399999999</v>
      </c>
      <c r="F94" s="34">
        <v>-0.62368388400000008</v>
      </c>
      <c r="G94" s="34">
        <v>-0.76860955500000006</v>
      </c>
      <c r="H94" s="34">
        <v>1.1217345999999999</v>
      </c>
      <c r="I94" s="34">
        <v>-9.0730073300000005E-2</v>
      </c>
      <c r="J94" s="34">
        <v>-0.53643465300000004</v>
      </c>
      <c r="K94" s="34">
        <v>-0.37784522800000003</v>
      </c>
    </row>
    <row r="95" spans="1:70" ht="26.4">
      <c r="A95" s="9" t="s">
        <v>39</v>
      </c>
      <c r="B95" s="34">
        <v>6</v>
      </c>
      <c r="C95" s="34">
        <v>-1.2821100000000001</v>
      </c>
      <c r="D95" s="34">
        <v>2.24962171</v>
      </c>
      <c r="E95" s="34">
        <v>1.73126834</v>
      </c>
      <c r="F95" s="34">
        <v>-0.69888047900000005</v>
      </c>
      <c r="G95" s="34">
        <v>4.6001569400000004E-2</v>
      </c>
      <c r="H95" s="34">
        <v>0.52180191399999998</v>
      </c>
      <c r="I95" s="34">
        <v>-1.4417472199999999</v>
      </c>
      <c r="J95" s="34">
        <v>0.48976465800000002</v>
      </c>
      <c r="K95" s="34">
        <v>-2.9503752900000002</v>
      </c>
    </row>
    <row r="96" spans="1:70" ht="39.6">
      <c r="A96" s="11" t="s">
        <v>40</v>
      </c>
      <c r="B96" s="34">
        <v>6</v>
      </c>
      <c r="C96" s="34">
        <v>2.2337633299999999</v>
      </c>
      <c r="D96" s="34">
        <v>-0.39076934800000002</v>
      </c>
      <c r="E96" s="34">
        <v>2.52377202</v>
      </c>
      <c r="F96" s="34">
        <v>-0.73436387300000006</v>
      </c>
      <c r="G96" s="34">
        <v>-0.15765121200000001</v>
      </c>
      <c r="H96" s="34">
        <v>-1.67981151</v>
      </c>
      <c r="I96" s="34">
        <v>-2.0609634200000002</v>
      </c>
      <c r="J96" s="34">
        <v>-2.15997386</v>
      </c>
      <c r="K96" s="34">
        <v>-0.523710334</v>
      </c>
    </row>
    <row r="97" spans="1:16" ht="92.4">
      <c r="A97" s="9" t="s">
        <v>41</v>
      </c>
      <c r="B97" s="34">
        <v>6</v>
      </c>
      <c r="C97" s="34">
        <v>-0.70532016500000005</v>
      </c>
      <c r="D97" s="34">
        <v>1.9666230900000001</v>
      </c>
      <c r="E97" s="34">
        <v>1.24045922</v>
      </c>
      <c r="F97" s="34">
        <v>-0.66833186200000005</v>
      </c>
      <c r="G97" s="34">
        <v>-0.15765121200000001</v>
      </c>
      <c r="H97" s="34">
        <v>-0.65015960500000003</v>
      </c>
      <c r="I97" s="34">
        <v>-1.1602853200000001</v>
      </c>
      <c r="J97" s="34">
        <v>-1.36352067</v>
      </c>
      <c r="K97" s="34">
        <v>-0.55023126300000003</v>
      </c>
    </row>
    <row r="98" spans="1:16" ht="39.6">
      <c r="A98" s="9" t="s">
        <v>45</v>
      </c>
      <c r="B98" s="34">
        <v>6</v>
      </c>
      <c r="C98" s="34">
        <v>-1.15487695</v>
      </c>
      <c r="D98" s="34">
        <v>0.441497527</v>
      </c>
      <c r="E98" s="34">
        <v>0.39808459999999996</v>
      </c>
      <c r="F98" s="34">
        <v>-0.682431224</v>
      </c>
      <c r="G98" s="34">
        <v>0.29038490700000003</v>
      </c>
      <c r="H98" s="34">
        <v>-9.7663459899999999E-2</v>
      </c>
      <c r="I98" s="34">
        <v>0.52848612000000006</v>
      </c>
      <c r="J98" s="34">
        <v>-3.1555403599999998</v>
      </c>
      <c r="K98" s="34">
        <v>-0.53697079800000003</v>
      </c>
    </row>
    <row r="99" spans="1:16" ht="39.6">
      <c r="A99" s="9" t="s">
        <v>46</v>
      </c>
      <c r="B99" s="34">
        <v>6</v>
      </c>
      <c r="C99" s="34">
        <v>-0.24728117800000002</v>
      </c>
      <c r="D99" s="34">
        <v>3.9434311800000001</v>
      </c>
      <c r="E99" s="34">
        <v>-0.43243949600000003</v>
      </c>
      <c r="F99" s="34">
        <v>-0.26650005300000001</v>
      </c>
      <c r="G99" s="34">
        <v>-0.27984288000000002</v>
      </c>
      <c r="H99" s="34">
        <v>0.61388460500000008</v>
      </c>
      <c r="I99" s="34">
        <v>-0.48477674200000004</v>
      </c>
      <c r="J99" s="34">
        <v>0.15280368999999999</v>
      </c>
      <c r="K99" s="34">
        <v>0.152573341</v>
      </c>
    </row>
    <row r="100" spans="1:16" ht="26.4">
      <c r="A100" s="9" t="s">
        <v>47</v>
      </c>
      <c r="B100" s="34">
        <v>6</v>
      </c>
      <c r="C100" s="34">
        <v>-0.87496423400000001</v>
      </c>
      <c r="D100" s="34">
        <v>0.33136505900000002</v>
      </c>
      <c r="E100" s="34">
        <v>-0.54551322800000002</v>
      </c>
      <c r="F100" s="34">
        <v>3.73771315E-3</v>
      </c>
      <c r="G100" s="34">
        <v>2.2047210499999998</v>
      </c>
      <c r="H100" s="34">
        <v>0.93198844600000008</v>
      </c>
      <c r="I100" s="34">
        <v>-1.6669167499999999</v>
      </c>
      <c r="J100" s="34">
        <v>-0.79681358300000005</v>
      </c>
      <c r="K100" s="34">
        <v>-1.0673893699999999</v>
      </c>
    </row>
    <row r="101" spans="1:16" ht="79.2">
      <c r="A101" s="12" t="s">
        <v>81</v>
      </c>
      <c r="B101" s="34">
        <v>6</v>
      </c>
      <c r="C101" s="34">
        <v>-1.40205834E-2</v>
      </c>
      <c r="D101" s="34">
        <v>-0.33500607300000002</v>
      </c>
      <c r="E101" s="34">
        <v>3.03186315</v>
      </c>
      <c r="F101" s="34">
        <v>-0.730134065</v>
      </c>
      <c r="G101" s="34">
        <v>-0.72787899900000008</v>
      </c>
      <c r="H101" s="34">
        <v>-1.1524288300000001</v>
      </c>
      <c r="I101" s="34">
        <v>-1.38545484</v>
      </c>
      <c r="J101" s="34">
        <v>-0.383270577</v>
      </c>
      <c r="K101" s="34">
        <v>1.0410244399999999</v>
      </c>
    </row>
    <row r="102" spans="1:16" ht="92.4">
      <c r="A102" s="12" t="s">
        <v>82</v>
      </c>
      <c r="B102" s="34">
        <v>6</v>
      </c>
      <c r="C102" s="34">
        <v>0.60942137100000005</v>
      </c>
      <c r="D102" s="34">
        <v>-0.18444523200000001</v>
      </c>
      <c r="E102" s="34">
        <v>-0.44182115900000002</v>
      </c>
      <c r="F102" s="34">
        <v>-0.52028856400000001</v>
      </c>
      <c r="G102" s="34">
        <v>2.6934877200000003</v>
      </c>
      <c r="H102" s="34">
        <v>2.0844172699999999</v>
      </c>
      <c r="I102" s="34">
        <v>-1.7232091299999999</v>
      </c>
      <c r="J102" s="34">
        <v>-0.32200494600000001</v>
      </c>
      <c r="K102" s="34">
        <v>-0.29828244200000004</v>
      </c>
    </row>
    <row r="103" spans="1:16" ht="26.4">
      <c r="A103" s="9" t="s">
        <v>97</v>
      </c>
      <c r="B103" s="34">
        <v>6</v>
      </c>
      <c r="C103" s="34">
        <v>-1.45175407</v>
      </c>
      <c r="D103" s="34">
        <v>0.71473757300000007</v>
      </c>
      <c r="E103" s="34">
        <v>4.1581391000000002E-2</v>
      </c>
      <c r="F103" s="34">
        <v>-0.72848913900000001</v>
      </c>
      <c r="G103" s="34">
        <v>2.6527571700000001</v>
      </c>
      <c r="H103" s="34">
        <v>1.1384768999999999</v>
      </c>
      <c r="I103" s="34">
        <v>0.415901358</v>
      </c>
      <c r="J103" s="34">
        <v>-0.90402843700000002</v>
      </c>
      <c r="K103" s="34">
        <v>-0.90826379700000004</v>
      </c>
    </row>
    <row r="104" spans="1:16" ht="39.6">
      <c r="A104" s="9" t="s">
        <v>101</v>
      </c>
      <c r="B104" s="34">
        <v>6</v>
      </c>
      <c r="C104" s="34">
        <v>-0.76045448700000007</v>
      </c>
      <c r="D104" s="34">
        <v>1.4340838200000001</v>
      </c>
      <c r="E104" s="34">
        <v>-0.45811562700000003</v>
      </c>
      <c r="F104" s="34">
        <v>-0.72613924600000002</v>
      </c>
      <c r="G104" s="34">
        <v>4.6001569400000004E-2</v>
      </c>
      <c r="H104" s="34">
        <v>0.73387114200000003</v>
      </c>
      <c r="I104" s="34">
        <v>-3.1305186599999999</v>
      </c>
      <c r="J104" s="34">
        <v>-0.73554795300000009</v>
      </c>
      <c r="K104" s="34">
        <v>2.5261964400000001</v>
      </c>
    </row>
    <row r="105" spans="1:16" ht="39.6">
      <c r="A105" s="9" t="s">
        <v>102</v>
      </c>
      <c r="B105" s="34">
        <v>6</v>
      </c>
      <c r="C105" s="34">
        <v>-1.7740777999999999</v>
      </c>
      <c r="D105" s="34">
        <v>-0.109164811</v>
      </c>
      <c r="E105" s="34">
        <v>2.1830520799999999E-2</v>
      </c>
      <c r="F105" s="34">
        <v>-0.661282182</v>
      </c>
      <c r="G105" s="34">
        <v>2.2861821600000001</v>
      </c>
      <c r="H105" s="34">
        <v>-0.42971922400000001</v>
      </c>
      <c r="I105" s="34">
        <v>-0.59736150399999999</v>
      </c>
      <c r="J105" s="34">
        <v>-1.1490909600000001</v>
      </c>
      <c r="K105" s="34">
        <v>-0.53697079800000003</v>
      </c>
    </row>
    <row r="106" spans="1:16" ht="52.8">
      <c r="A106" s="9" t="s">
        <v>104</v>
      </c>
      <c r="B106" s="34">
        <v>6</v>
      </c>
      <c r="C106" s="34">
        <v>-2.2405989900000001</v>
      </c>
      <c r="D106" s="34">
        <v>2.3806653999999998</v>
      </c>
      <c r="E106" s="34">
        <v>1.44043678</v>
      </c>
      <c r="F106" s="34">
        <v>-0.735773809</v>
      </c>
      <c r="G106" s="34">
        <v>-0.44276510500000005</v>
      </c>
      <c r="H106" s="34">
        <v>-1.9923345800000001</v>
      </c>
      <c r="I106" s="34">
        <v>-3.1868110399999998</v>
      </c>
      <c r="J106" s="34">
        <v>-0.84276280600000009</v>
      </c>
      <c r="K106" s="34">
        <v>6.7082348399999997E-3</v>
      </c>
    </row>
    <row r="107" spans="1:16">
      <c r="A107" s="24" t="s">
        <v>114</v>
      </c>
      <c r="B107" s="28"/>
      <c r="C107" s="28">
        <f>AVERAGE(C94:C106)</f>
        <v>-0.60614363249230763</v>
      </c>
      <c r="D107" s="28">
        <f t="shared" ref="D107:K107" si="4">AVERAGE(D94:D106)</f>
        <v>1.0086743729230769</v>
      </c>
      <c r="E107" s="28">
        <f t="shared" si="4"/>
        <v>0.90382082706153843</v>
      </c>
      <c r="F107" s="28">
        <f t="shared" si="4"/>
        <v>-0.59788928206538461</v>
      </c>
      <c r="G107" s="28">
        <f t="shared" si="4"/>
        <v>0.59116439867692316</v>
      </c>
      <c r="H107" s="28">
        <f t="shared" si="4"/>
        <v>8.8004436007692297E-2</v>
      </c>
      <c r="I107" s="28">
        <f t="shared" si="4"/>
        <v>-1.2295682477923078</v>
      </c>
      <c r="J107" s="28">
        <f t="shared" si="4"/>
        <v>-0.90049388130769237</v>
      </c>
      <c r="K107" s="28">
        <f t="shared" si="4"/>
        <v>-0.30950283570461534</v>
      </c>
      <c r="L107" s="36"/>
      <c r="N107" s="36"/>
    </row>
    <row r="108" spans="1:16">
      <c r="C108" s="39">
        <v>3.1436389999999999</v>
      </c>
      <c r="D108" s="39">
        <v>3.4826969999999999</v>
      </c>
      <c r="E108" s="39">
        <v>4.321536</v>
      </c>
      <c r="F108" s="39">
        <v>1.558379</v>
      </c>
      <c r="G108" s="39">
        <v>3.0394709999999998</v>
      </c>
      <c r="H108" s="39">
        <v>3.6810130000000001</v>
      </c>
      <c r="I108" s="39">
        <v>2.6619220000000001</v>
      </c>
      <c r="J108" s="39">
        <v>3.4779930000000001</v>
      </c>
      <c r="K108" s="39">
        <v>3.7015929999999999</v>
      </c>
      <c r="L108" s="39">
        <v>3.1593870000000002</v>
      </c>
      <c r="M108" s="39">
        <v>3.8042690000000001</v>
      </c>
      <c r="N108" s="39">
        <v>2.6551670000000001</v>
      </c>
      <c r="O108" s="39">
        <v>3.7671890000000001</v>
      </c>
      <c r="P108" s="39">
        <v>1E-35</v>
      </c>
    </row>
    <row r="109" spans="1:16">
      <c r="C109">
        <f>C108*C108</f>
        <v>9.8824661623209984</v>
      </c>
      <c r="D109">
        <f t="shared" ref="D109:P109" si="5">D108*D108</f>
        <v>12.129178393808999</v>
      </c>
      <c r="E109">
        <f t="shared" si="5"/>
        <v>18.675673399295999</v>
      </c>
      <c r="F109">
        <f t="shared" si="5"/>
        <v>2.4285451076409998</v>
      </c>
      <c r="G109">
        <f t="shared" si="5"/>
        <v>9.2383839598409985</v>
      </c>
      <c r="H109">
        <f t="shared" si="5"/>
        <v>13.549856706169001</v>
      </c>
      <c r="I109">
        <f t="shared" si="5"/>
        <v>7.0858287340840009</v>
      </c>
      <c r="J109">
        <f t="shared" si="5"/>
        <v>12.096435308049001</v>
      </c>
      <c r="K109">
        <f t="shared" si="5"/>
        <v>13.701790737648999</v>
      </c>
      <c r="L109">
        <f t="shared" si="5"/>
        <v>9.981726215769001</v>
      </c>
      <c r="M109">
        <f t="shared" si="5"/>
        <v>14.472462624361</v>
      </c>
      <c r="N109">
        <f t="shared" si="5"/>
        <v>7.049911797889</v>
      </c>
      <c r="O109">
        <f t="shared" si="5"/>
        <v>14.191712961721</v>
      </c>
      <c r="P109">
        <f t="shared" si="5"/>
        <v>1E-70</v>
      </c>
    </row>
    <row r="110" spans="1:16">
      <c r="D110" s="35"/>
      <c r="E110" s="36"/>
      <c r="F110" s="36"/>
      <c r="G110" s="36"/>
      <c r="H110" s="36"/>
      <c r="I110" s="36"/>
      <c r="J110" s="36"/>
      <c r="K110" s="36"/>
      <c r="L110" s="36"/>
      <c r="N110" s="36"/>
    </row>
    <row r="111" spans="1:16">
      <c r="A111" s="42" t="s">
        <v>119</v>
      </c>
      <c r="B111" s="42">
        <f>SUM(C109:P109)</f>
        <v>144.483972108599</v>
      </c>
      <c r="D111" s="5"/>
      <c r="E111" s="5"/>
      <c r="F111" s="5"/>
      <c r="G111" s="5"/>
      <c r="H111" s="5"/>
      <c r="I111" s="5"/>
      <c r="J111" s="5"/>
      <c r="K111" s="5"/>
      <c r="L111" s="5"/>
      <c r="N111" s="5"/>
    </row>
    <row r="112" spans="1:16">
      <c r="D112" s="5"/>
      <c r="E112" s="5"/>
      <c r="F112" s="5"/>
      <c r="G112" s="5"/>
      <c r="H112" s="5"/>
      <c r="I112" s="5"/>
      <c r="J112" s="5"/>
      <c r="K112" s="5"/>
      <c r="L112" s="5"/>
      <c r="N112" s="5"/>
    </row>
    <row r="113" spans="1:14">
      <c r="A113" t="s">
        <v>115</v>
      </c>
      <c r="B113" s="6">
        <f>B111+B93+B22+B16+B11+B6</f>
        <v>533.07229564454281</v>
      </c>
      <c r="D113" s="5"/>
      <c r="E113" s="5"/>
      <c r="F113" s="5"/>
      <c r="G113" s="5"/>
      <c r="H113" s="5"/>
      <c r="I113" s="5"/>
      <c r="J113" s="5"/>
      <c r="K113" s="5"/>
      <c r="L113" s="5"/>
      <c r="N113" s="5"/>
    </row>
  </sheetData>
  <sortState xmlns:xlrd2="http://schemas.microsoft.com/office/spreadsheetml/2017/richdata2" ref="A2:K106">
    <sortCondition ref="B2:B106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432C-BF90-4A93-92CA-FDF28FFA26DF}">
  <dimension ref="A1:AZ104"/>
  <sheetViews>
    <sheetView topLeftCell="A87" workbookViewId="0">
      <selection activeCell="C70" sqref="C70"/>
    </sheetView>
  </sheetViews>
  <sheetFormatPr defaultRowHeight="14.4"/>
  <cols>
    <col min="1" max="1" width="15.77734375" style="45" bestFit="1" customWidth="1"/>
    <col min="2" max="2" width="15.77734375" style="45" customWidth="1"/>
    <col min="3" max="3" width="12.6640625" style="45" bestFit="1" customWidth="1"/>
    <col min="4" max="16384" width="8.88671875" style="45"/>
  </cols>
  <sheetData>
    <row r="1" spans="1:23">
      <c r="A1" s="7" t="s">
        <v>105</v>
      </c>
      <c r="B1" s="7" t="s">
        <v>106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M1" s="37"/>
      <c r="N1" s="46"/>
      <c r="O1" s="46"/>
      <c r="P1" s="46"/>
      <c r="Q1" s="46"/>
      <c r="R1" s="46"/>
      <c r="S1" s="46"/>
      <c r="T1" s="46"/>
      <c r="U1" s="46"/>
      <c r="V1" s="46"/>
      <c r="W1" s="47"/>
    </row>
    <row r="2" spans="1:23" ht="26.4">
      <c r="A2" s="9" t="s">
        <v>47</v>
      </c>
      <c r="B2" s="52">
        <v>1</v>
      </c>
      <c r="C2" s="52">
        <v>-0.87496423400000001</v>
      </c>
      <c r="D2" s="52">
        <v>0.33136505900000002</v>
      </c>
      <c r="E2" s="52">
        <v>-0.54551322800000002</v>
      </c>
      <c r="F2" s="52">
        <v>3.73771315E-3</v>
      </c>
      <c r="G2" s="52">
        <v>2.2047210499999998</v>
      </c>
      <c r="H2" s="52">
        <v>0.93198844600000008</v>
      </c>
      <c r="I2" s="52">
        <v>-1.6669167499999999</v>
      </c>
      <c r="J2" s="52">
        <v>-0.79681358300000005</v>
      </c>
      <c r="K2" s="52">
        <v>-1.0673893699999999</v>
      </c>
      <c r="M2" s="37"/>
      <c r="N2" s="46"/>
      <c r="O2" s="46"/>
      <c r="P2" s="46"/>
      <c r="Q2" s="46"/>
      <c r="R2" s="46"/>
      <c r="S2" s="46"/>
      <c r="T2" s="46"/>
      <c r="U2" s="46"/>
      <c r="V2" s="46"/>
      <c r="W2" s="47"/>
    </row>
    <row r="3" spans="1:23" ht="39.6">
      <c r="A3" s="9" t="s">
        <v>61</v>
      </c>
      <c r="B3" s="52">
        <v>1</v>
      </c>
      <c r="C3" s="52">
        <v>-0.71804347000000002</v>
      </c>
      <c r="D3" s="52">
        <v>-0.29736586300000001</v>
      </c>
      <c r="E3" s="52">
        <v>-0.91682958999999997</v>
      </c>
      <c r="F3" s="52">
        <v>0.93664548100000011</v>
      </c>
      <c r="G3" s="52">
        <v>4.32270997</v>
      </c>
      <c r="H3" s="52">
        <v>0.97105383000000001</v>
      </c>
      <c r="I3" s="52">
        <v>1.2602870799999999</v>
      </c>
      <c r="J3" s="52">
        <v>3.1854524</v>
      </c>
      <c r="K3" s="52">
        <v>-1.2530358699999999</v>
      </c>
      <c r="M3" s="37"/>
      <c r="N3" s="46"/>
      <c r="O3" s="46"/>
      <c r="P3" s="46"/>
      <c r="Q3" s="46"/>
      <c r="R3" s="46"/>
      <c r="S3" s="46"/>
      <c r="T3" s="46"/>
      <c r="U3" s="46"/>
      <c r="V3" s="46"/>
      <c r="W3" s="47"/>
    </row>
    <row r="4" spans="1:23" ht="0.6" customHeight="1">
      <c r="A4" s="12" t="s">
        <v>82</v>
      </c>
      <c r="B4" s="52">
        <v>1</v>
      </c>
      <c r="C4" s="52">
        <v>0.60942137100000005</v>
      </c>
      <c r="D4" s="52">
        <v>-0.18444523200000001</v>
      </c>
      <c r="E4" s="52">
        <v>-0.44182115900000002</v>
      </c>
      <c r="F4" s="52">
        <v>-0.52028856400000001</v>
      </c>
      <c r="G4" s="52">
        <v>2.6934877200000003</v>
      </c>
      <c r="H4" s="52">
        <v>2.0844172699999999</v>
      </c>
      <c r="I4" s="52">
        <v>-1.7232091299999999</v>
      </c>
      <c r="J4" s="52">
        <v>-0.32200494600000001</v>
      </c>
      <c r="K4" s="52">
        <v>-0.29828244200000004</v>
      </c>
      <c r="M4" s="37"/>
      <c r="N4" s="46"/>
      <c r="O4" s="46"/>
      <c r="P4" s="46"/>
      <c r="Q4" s="46"/>
      <c r="R4" s="46"/>
      <c r="S4" s="46"/>
      <c r="T4" s="46"/>
      <c r="U4" s="46"/>
      <c r="V4" s="46"/>
      <c r="W4" s="47"/>
    </row>
    <row r="5" spans="1:23">
      <c r="A5" s="9" t="s">
        <v>97</v>
      </c>
      <c r="B5" s="52">
        <v>1</v>
      </c>
      <c r="C5" s="52">
        <v>-1.45175407</v>
      </c>
      <c r="D5" s="52">
        <v>0.71473757300000007</v>
      </c>
      <c r="E5" s="52">
        <v>4.1581391000000002E-2</v>
      </c>
      <c r="F5" s="52">
        <v>-0.72848913900000001</v>
      </c>
      <c r="G5" s="52">
        <v>2.6527571700000001</v>
      </c>
      <c r="H5" s="52">
        <v>1.1384768999999999</v>
      </c>
      <c r="I5" s="52">
        <v>0.415901358</v>
      </c>
      <c r="J5" s="52">
        <v>-0.90402843700000002</v>
      </c>
      <c r="K5" s="52">
        <v>-0.90826379700000004</v>
      </c>
      <c r="M5" s="37"/>
      <c r="N5" s="46"/>
      <c r="O5" s="46"/>
      <c r="P5" s="46"/>
      <c r="Q5" s="46"/>
      <c r="R5" s="46"/>
      <c r="S5" s="46"/>
      <c r="T5" s="46"/>
      <c r="U5" s="46"/>
      <c r="V5" s="46"/>
      <c r="W5" s="47"/>
    </row>
    <row r="6" spans="1:23" ht="26.4">
      <c r="A6" s="9" t="s">
        <v>102</v>
      </c>
      <c r="B6" s="52">
        <v>1</v>
      </c>
      <c r="C6" s="52">
        <v>-1.7740777999999999</v>
      </c>
      <c r="D6" s="52">
        <v>-0.109164811</v>
      </c>
      <c r="E6" s="52">
        <v>2.1830520799999999E-2</v>
      </c>
      <c r="F6" s="52">
        <v>-0.661282182</v>
      </c>
      <c r="G6" s="52">
        <v>2.2861821600000001</v>
      </c>
      <c r="H6" s="52">
        <v>-0.42971922400000001</v>
      </c>
      <c r="I6" s="52">
        <v>-0.59736150399999999</v>
      </c>
      <c r="J6" s="52">
        <v>-1.1490909600000001</v>
      </c>
      <c r="K6" s="52">
        <v>-0.53697079800000003</v>
      </c>
      <c r="M6" s="37"/>
      <c r="N6" s="46"/>
      <c r="O6" s="46"/>
      <c r="P6" s="46"/>
      <c r="Q6" s="46"/>
      <c r="R6" s="46"/>
      <c r="S6" s="46"/>
      <c r="T6" s="46"/>
      <c r="U6" s="46"/>
      <c r="V6" s="46"/>
      <c r="W6" s="47"/>
    </row>
    <row r="7" spans="1:23">
      <c r="A7" s="24" t="s">
        <v>114</v>
      </c>
      <c r="B7" s="54"/>
      <c r="C7" s="54">
        <f>AVERAGE(C2:C6)</f>
        <v>-0.84188364060000009</v>
      </c>
      <c r="D7" s="54">
        <f t="shared" ref="D7:K7" si="0">AVERAGE(D2:D6)</f>
        <v>9.1025345200000024E-2</v>
      </c>
      <c r="E7" s="54">
        <f t="shared" si="0"/>
        <v>-0.36815041304000001</v>
      </c>
      <c r="F7" s="54">
        <f t="shared" si="0"/>
        <v>-0.19393533816999997</v>
      </c>
      <c r="G7" s="54">
        <f t="shared" si="0"/>
        <v>2.8319716139999995</v>
      </c>
      <c r="H7" s="54">
        <f t="shared" si="0"/>
        <v>0.93924344439999996</v>
      </c>
      <c r="I7" s="54">
        <f t="shared" si="0"/>
        <v>-0.46225978919999999</v>
      </c>
      <c r="J7" s="54">
        <f t="shared" si="0"/>
        <v>2.7028947999999885E-3</v>
      </c>
      <c r="K7" s="54">
        <f t="shared" si="0"/>
        <v>-0.8127884554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7"/>
    </row>
    <row r="8" spans="1:23">
      <c r="A8" s="9"/>
      <c r="B8" s="52"/>
      <c r="C8" s="56">
        <v>1.6365000000000001</v>
      </c>
      <c r="D8" s="56">
        <v>4.1544720000000002</v>
      </c>
      <c r="E8" s="56">
        <v>2.363229</v>
      </c>
      <c r="F8" s="56">
        <v>1.6996599999999999</v>
      </c>
      <c r="G8" s="56">
        <v>2.2073659999999999</v>
      </c>
      <c r="H8" s="52"/>
      <c r="I8" s="52"/>
      <c r="J8" s="52"/>
      <c r="K8" s="52"/>
      <c r="M8" s="46"/>
      <c r="N8" s="46"/>
      <c r="O8" s="46"/>
      <c r="P8" s="46"/>
      <c r="Q8" s="46"/>
      <c r="R8" s="46"/>
      <c r="S8" s="46"/>
      <c r="T8" s="46"/>
      <c r="U8" s="46"/>
      <c r="V8" s="46"/>
      <c r="W8" s="47"/>
    </row>
    <row r="9" spans="1:23">
      <c r="A9" s="9"/>
      <c r="B9" s="52"/>
      <c r="C9" s="52">
        <f>C8*C8</f>
        <v>2.6781322500000004</v>
      </c>
      <c r="D9" s="52">
        <f t="shared" ref="D9:G9" si="1">D8*D8</f>
        <v>17.259637598784</v>
      </c>
      <c r="E9" s="52">
        <f t="shared" si="1"/>
        <v>5.5848513064410001</v>
      </c>
      <c r="F9" s="52">
        <f t="shared" si="1"/>
        <v>2.8888441156</v>
      </c>
      <c r="G9" s="52">
        <f t="shared" si="1"/>
        <v>4.8724646579559998</v>
      </c>
      <c r="H9" s="52"/>
      <c r="I9" s="52"/>
      <c r="J9" s="52"/>
      <c r="K9" s="52"/>
      <c r="M9" s="46"/>
      <c r="N9" s="46"/>
      <c r="O9" s="46"/>
      <c r="P9" s="46"/>
      <c r="Q9" s="46"/>
      <c r="R9" s="46"/>
      <c r="S9" s="46"/>
      <c r="T9" s="46"/>
      <c r="U9" s="46"/>
      <c r="V9" s="46"/>
      <c r="W9" s="47"/>
    </row>
    <row r="10" spans="1:23">
      <c r="A10" s="25" t="s">
        <v>116</v>
      </c>
      <c r="B10" s="55">
        <f>SUM(C9:G9)</f>
        <v>33.283929928780999</v>
      </c>
      <c r="C10" s="52"/>
      <c r="D10" s="52"/>
      <c r="E10" s="52"/>
      <c r="F10" s="52"/>
      <c r="G10" s="52"/>
      <c r="H10" s="52"/>
      <c r="I10" s="52"/>
      <c r="J10" s="52"/>
      <c r="K10" s="52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7"/>
    </row>
    <row r="11" spans="1:23" ht="26.4">
      <c r="A11" s="9" t="s">
        <v>22</v>
      </c>
      <c r="B11" s="52">
        <v>2</v>
      </c>
      <c r="C11" s="52">
        <v>-0.16670024600000002</v>
      </c>
      <c r="D11" s="52">
        <v>1.2263656199999999</v>
      </c>
      <c r="E11" s="52">
        <v>0.89827539000000001</v>
      </c>
      <c r="F11" s="52">
        <v>0.20112877700000001</v>
      </c>
      <c r="G11" s="52">
        <v>-1.01299289</v>
      </c>
      <c r="H11" s="52">
        <v>1.18312306</v>
      </c>
      <c r="I11" s="52">
        <v>7.8147070400000004E-2</v>
      </c>
      <c r="J11" s="52">
        <v>0.78077640300000006</v>
      </c>
      <c r="K11" s="52">
        <v>-0.98782658200000006</v>
      </c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7"/>
    </row>
    <row r="12" spans="1:23" ht="26.4">
      <c r="A12" s="9" t="s">
        <v>38</v>
      </c>
      <c r="B12" s="52">
        <v>2</v>
      </c>
      <c r="C12" s="52">
        <v>-0.21759346600000001</v>
      </c>
      <c r="D12" s="52">
        <v>0.67012695300000003</v>
      </c>
      <c r="E12" s="52">
        <v>3.1982642399999999</v>
      </c>
      <c r="F12" s="52">
        <v>-0.62368388400000008</v>
      </c>
      <c r="G12" s="52">
        <v>-0.76860955500000006</v>
      </c>
      <c r="H12" s="52">
        <v>1.1217345999999999</v>
      </c>
      <c r="I12" s="52">
        <v>-9.0730073300000005E-2</v>
      </c>
      <c r="J12" s="52">
        <v>-0.53643465300000004</v>
      </c>
      <c r="K12" s="52">
        <v>-0.37784522800000003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7"/>
    </row>
    <row r="13" spans="1:23">
      <c r="A13" s="9" t="s">
        <v>39</v>
      </c>
      <c r="B13" s="52">
        <v>2</v>
      </c>
      <c r="C13" s="52">
        <v>-1.2821100000000001</v>
      </c>
      <c r="D13" s="52">
        <v>2.24962171</v>
      </c>
      <c r="E13" s="52">
        <v>1.73126834</v>
      </c>
      <c r="F13" s="52">
        <v>-0.69888047900000005</v>
      </c>
      <c r="G13" s="52">
        <v>4.6001569400000004E-2</v>
      </c>
      <c r="H13" s="52">
        <v>0.52180191399999998</v>
      </c>
      <c r="I13" s="52">
        <v>-1.4417472199999999</v>
      </c>
      <c r="J13" s="52">
        <v>0.48976465800000002</v>
      </c>
      <c r="K13" s="52">
        <v>-2.9503752900000002</v>
      </c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7"/>
    </row>
    <row r="14" spans="1:23" ht="26.4">
      <c r="A14" s="11" t="s">
        <v>40</v>
      </c>
      <c r="B14" s="52">
        <v>2</v>
      </c>
      <c r="C14" s="52">
        <v>2.2337633299999999</v>
      </c>
      <c r="D14" s="52">
        <v>-0.39076934800000002</v>
      </c>
      <c r="E14" s="52">
        <v>2.52377202</v>
      </c>
      <c r="F14" s="52">
        <v>-0.73436387300000006</v>
      </c>
      <c r="G14" s="52">
        <v>-0.15765121200000001</v>
      </c>
      <c r="H14" s="52">
        <v>-1.67981151</v>
      </c>
      <c r="I14" s="52">
        <v>-2.0609634200000002</v>
      </c>
      <c r="J14" s="52">
        <v>-2.15997386</v>
      </c>
      <c r="K14" s="52">
        <v>-0.523710334</v>
      </c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7"/>
    </row>
    <row r="15" spans="1:23" ht="52.8">
      <c r="A15" s="9" t="s">
        <v>41</v>
      </c>
      <c r="B15" s="52">
        <v>2</v>
      </c>
      <c r="C15" s="52">
        <v>-0.70532016500000005</v>
      </c>
      <c r="D15" s="52">
        <v>1.9666230900000001</v>
      </c>
      <c r="E15" s="52">
        <v>1.24045922</v>
      </c>
      <c r="F15" s="52">
        <v>-0.66833186200000005</v>
      </c>
      <c r="G15" s="52">
        <v>-0.15765121200000001</v>
      </c>
      <c r="H15" s="52">
        <v>-0.65015960500000003</v>
      </c>
      <c r="I15" s="52">
        <v>-1.1602853200000001</v>
      </c>
      <c r="J15" s="52">
        <v>-1.36352067</v>
      </c>
      <c r="K15" s="52">
        <v>-0.55023126300000003</v>
      </c>
      <c r="M15" s="37"/>
      <c r="N15" s="46"/>
      <c r="O15" s="46"/>
      <c r="P15" s="46"/>
      <c r="Q15" s="46"/>
      <c r="R15" s="46"/>
      <c r="S15" s="46"/>
      <c r="T15" s="46"/>
      <c r="U15" s="46"/>
      <c r="V15" s="46"/>
      <c r="W15" s="47"/>
    </row>
    <row r="16" spans="1:23" ht="26.4">
      <c r="A16" s="9" t="s">
        <v>42</v>
      </c>
      <c r="B16" s="52">
        <v>2</v>
      </c>
      <c r="C16" s="52">
        <v>0.20651670600000002</v>
      </c>
      <c r="D16" s="52">
        <v>0.51538386600000008</v>
      </c>
      <c r="E16" s="52">
        <v>1.2162644</v>
      </c>
      <c r="F16" s="52">
        <v>-0.47564058600000003</v>
      </c>
      <c r="G16" s="52">
        <v>-0.850070667</v>
      </c>
      <c r="H16" s="52">
        <v>0.47436537700000003</v>
      </c>
      <c r="I16" s="52">
        <v>-0.76623864800000008</v>
      </c>
      <c r="J16" s="52">
        <v>-1.13377455</v>
      </c>
      <c r="K16" s="52">
        <v>-0.37784522800000003</v>
      </c>
      <c r="M16" s="37"/>
      <c r="N16" s="46"/>
      <c r="O16" s="46"/>
      <c r="P16" s="46"/>
      <c r="Q16" s="46"/>
      <c r="R16" s="46"/>
      <c r="S16" s="46"/>
      <c r="T16" s="46"/>
      <c r="U16" s="46"/>
      <c r="V16" s="46"/>
      <c r="W16" s="47"/>
    </row>
    <row r="17" spans="1:23" ht="26.4">
      <c r="A17" s="9" t="s">
        <v>45</v>
      </c>
      <c r="B17" s="52">
        <v>2</v>
      </c>
      <c r="C17" s="52">
        <v>-1.15487695</v>
      </c>
      <c r="D17" s="52">
        <v>0.441497527</v>
      </c>
      <c r="E17" s="52">
        <v>0.39808459999999996</v>
      </c>
      <c r="F17" s="52">
        <v>-0.682431224</v>
      </c>
      <c r="G17" s="52">
        <v>0.29038490700000003</v>
      </c>
      <c r="H17" s="52">
        <v>-9.7663459899999999E-2</v>
      </c>
      <c r="I17" s="52">
        <v>0.52848612000000006</v>
      </c>
      <c r="J17" s="52">
        <v>-3.1555403599999998</v>
      </c>
      <c r="K17" s="52">
        <v>-0.53697079800000003</v>
      </c>
      <c r="M17" s="37"/>
      <c r="N17" s="46"/>
      <c r="O17" s="46"/>
      <c r="P17" s="46"/>
      <c r="Q17" s="46"/>
      <c r="R17" s="46"/>
      <c r="S17" s="46"/>
      <c r="T17" s="46"/>
      <c r="U17" s="46"/>
      <c r="V17" s="46"/>
      <c r="W17" s="47"/>
    </row>
    <row r="18" spans="1:23" ht="26.4">
      <c r="A18" s="9" t="s">
        <v>46</v>
      </c>
      <c r="B18" s="52">
        <v>2</v>
      </c>
      <c r="C18" s="52">
        <v>-0.24728117800000002</v>
      </c>
      <c r="D18" s="52">
        <v>3.9434311800000001</v>
      </c>
      <c r="E18" s="52">
        <v>-0.43243949600000003</v>
      </c>
      <c r="F18" s="52">
        <v>-0.26650005300000001</v>
      </c>
      <c r="G18" s="52">
        <v>-0.27984288000000002</v>
      </c>
      <c r="H18" s="52">
        <v>0.61388460500000008</v>
      </c>
      <c r="I18" s="52">
        <v>-0.48477674200000004</v>
      </c>
      <c r="J18" s="52">
        <v>0.15280368999999999</v>
      </c>
      <c r="K18" s="52">
        <v>0.152573341</v>
      </c>
      <c r="M18" s="37"/>
      <c r="N18" s="46"/>
      <c r="O18" s="46"/>
      <c r="P18" s="46"/>
      <c r="Q18" s="46"/>
      <c r="R18" s="46"/>
      <c r="S18" s="46"/>
      <c r="T18" s="46"/>
      <c r="U18" s="46"/>
      <c r="V18" s="46"/>
      <c r="W18" s="47"/>
    </row>
    <row r="19" spans="1:23" ht="39.6">
      <c r="A19" s="12" t="s">
        <v>81</v>
      </c>
      <c r="B19" s="52">
        <v>2</v>
      </c>
      <c r="C19" s="52">
        <v>-1.40205834E-2</v>
      </c>
      <c r="D19" s="52">
        <v>-0.33500607300000002</v>
      </c>
      <c r="E19" s="52">
        <v>3.03186315</v>
      </c>
      <c r="F19" s="52">
        <v>-0.730134065</v>
      </c>
      <c r="G19" s="52">
        <v>-0.72787899900000008</v>
      </c>
      <c r="H19" s="52">
        <v>-1.1524288300000001</v>
      </c>
      <c r="I19" s="52">
        <v>-1.38545484</v>
      </c>
      <c r="J19" s="52">
        <v>-0.383270577</v>
      </c>
      <c r="K19" s="52">
        <v>1.0410244399999999</v>
      </c>
      <c r="M19" s="37"/>
      <c r="N19" s="46"/>
      <c r="O19" s="46"/>
      <c r="P19" s="46"/>
      <c r="Q19" s="46"/>
      <c r="R19" s="46"/>
      <c r="S19" s="46"/>
      <c r="T19" s="46"/>
      <c r="U19" s="46"/>
      <c r="V19" s="46"/>
      <c r="W19" s="47"/>
    </row>
    <row r="20" spans="1:23">
      <c r="A20" s="9" t="s">
        <v>84</v>
      </c>
      <c r="B20" s="52">
        <v>2</v>
      </c>
      <c r="C20" s="52">
        <v>0.26165102900000003</v>
      </c>
      <c r="D20" s="52">
        <v>0.33554730500000002</v>
      </c>
      <c r="E20" s="52">
        <v>0.46326247200000004</v>
      </c>
      <c r="F20" s="52">
        <v>-0.62133399</v>
      </c>
      <c r="G20" s="52">
        <v>-0.72787899900000008</v>
      </c>
      <c r="H20" s="52">
        <v>1.86118651</v>
      </c>
      <c r="I20" s="52">
        <v>-0.259607217</v>
      </c>
      <c r="J20" s="52">
        <v>3.0272429200000003E-2</v>
      </c>
      <c r="K20" s="52">
        <v>-1.2530358699999999</v>
      </c>
      <c r="M20" s="37"/>
      <c r="N20" s="46"/>
      <c r="O20" s="46"/>
      <c r="P20" s="46"/>
      <c r="Q20" s="46"/>
      <c r="R20" s="46"/>
      <c r="S20" s="46"/>
      <c r="T20" s="46"/>
      <c r="U20" s="46"/>
      <c r="V20" s="46"/>
      <c r="W20" s="47"/>
    </row>
    <row r="21" spans="1:23" ht="26.4">
      <c r="A21" s="9" t="s">
        <v>86</v>
      </c>
      <c r="B21" s="52">
        <v>2</v>
      </c>
      <c r="C21" s="52">
        <v>1.46188282</v>
      </c>
      <c r="D21" s="52">
        <v>0.68406777200000002</v>
      </c>
      <c r="E21" s="52">
        <v>0.24402781200000001</v>
      </c>
      <c r="F21" s="52">
        <v>-0.51558877700000005</v>
      </c>
      <c r="G21" s="52">
        <v>-1.42029845</v>
      </c>
      <c r="H21" s="52">
        <v>-0.15905192000000001</v>
      </c>
      <c r="I21" s="52">
        <v>-0.147022454</v>
      </c>
      <c r="J21" s="52">
        <v>-0.35263776200000002</v>
      </c>
      <c r="K21" s="52">
        <v>-0.41762662</v>
      </c>
      <c r="M21" s="37"/>
      <c r="N21" s="46"/>
      <c r="O21" s="46"/>
      <c r="P21" s="46"/>
      <c r="Q21" s="46"/>
      <c r="R21" s="46"/>
      <c r="S21" s="46"/>
      <c r="T21" s="46"/>
      <c r="U21" s="46"/>
      <c r="V21" s="46"/>
      <c r="W21" s="47"/>
    </row>
    <row r="22" spans="1:23">
      <c r="A22" s="9" t="s">
        <v>93</v>
      </c>
      <c r="B22" s="52">
        <v>2</v>
      </c>
      <c r="C22" s="52">
        <v>-1.2524222899999999</v>
      </c>
      <c r="D22" s="52">
        <v>-0.64867449300000002</v>
      </c>
      <c r="E22" s="52">
        <v>-0.14506433300000002</v>
      </c>
      <c r="F22" s="52">
        <v>-0.67773143700000005</v>
      </c>
      <c r="G22" s="52">
        <v>-0.15765121200000001</v>
      </c>
      <c r="H22" s="52">
        <v>-1.5933095900000001</v>
      </c>
      <c r="I22" s="52">
        <v>-0.147022454</v>
      </c>
      <c r="J22" s="52">
        <v>1.4956021600000001E-2</v>
      </c>
      <c r="K22" s="52">
        <v>-3.9183891800000001</v>
      </c>
      <c r="M22" s="37"/>
      <c r="N22" s="46"/>
      <c r="O22" s="46"/>
      <c r="P22" s="46"/>
      <c r="Q22" s="46"/>
      <c r="R22" s="46"/>
      <c r="S22" s="46"/>
      <c r="T22" s="46"/>
      <c r="U22" s="46"/>
      <c r="V22" s="46"/>
      <c r="W22" s="47"/>
    </row>
    <row r="23" spans="1:23" ht="26.4">
      <c r="A23" s="9" t="s">
        <v>95</v>
      </c>
      <c r="B23" s="52">
        <v>2</v>
      </c>
      <c r="C23" s="52">
        <v>-0.34906762000000002</v>
      </c>
      <c r="D23" s="52">
        <v>-4.2248881100000003E-2</v>
      </c>
      <c r="E23" s="52">
        <v>1.3485952299999999</v>
      </c>
      <c r="F23" s="52">
        <v>-0.72919410700000009</v>
      </c>
      <c r="G23" s="52">
        <v>-1.25737623</v>
      </c>
      <c r="H23" s="52">
        <v>-0.74503268</v>
      </c>
      <c r="I23" s="52">
        <v>-1.1039929399999999</v>
      </c>
      <c r="J23" s="52">
        <v>-0.58238387600000008</v>
      </c>
      <c r="K23" s="52">
        <v>0.152573341</v>
      </c>
      <c r="M23" s="37"/>
      <c r="N23" s="46"/>
      <c r="O23" s="46"/>
      <c r="P23" s="46"/>
      <c r="Q23" s="46"/>
      <c r="R23" s="46"/>
      <c r="S23" s="46"/>
      <c r="T23" s="46"/>
      <c r="U23" s="46"/>
      <c r="V23" s="46"/>
      <c r="W23" s="47"/>
    </row>
    <row r="24" spans="1:23" ht="26.4">
      <c r="A24" s="9" t="s">
        <v>101</v>
      </c>
      <c r="B24" s="52">
        <v>2</v>
      </c>
      <c r="C24" s="52">
        <v>-0.76045448700000007</v>
      </c>
      <c r="D24" s="52">
        <v>1.4340838200000001</v>
      </c>
      <c r="E24" s="52">
        <v>-0.45811562700000003</v>
      </c>
      <c r="F24" s="52">
        <v>-0.72613924600000002</v>
      </c>
      <c r="G24" s="52">
        <v>4.6001569400000004E-2</v>
      </c>
      <c r="H24" s="52">
        <v>0.73387114200000003</v>
      </c>
      <c r="I24" s="52">
        <v>-3.1305186599999999</v>
      </c>
      <c r="J24" s="52">
        <v>-0.73554795300000009</v>
      </c>
      <c r="K24" s="52">
        <v>2.5261964400000001</v>
      </c>
      <c r="M24" s="37"/>
      <c r="N24" s="46"/>
      <c r="O24" s="46"/>
      <c r="P24" s="46"/>
      <c r="Q24" s="46"/>
      <c r="R24" s="46"/>
      <c r="S24" s="46"/>
      <c r="T24" s="46"/>
      <c r="U24" s="46"/>
      <c r="V24" s="46"/>
      <c r="W24" s="47"/>
    </row>
    <row r="25" spans="1:23" ht="39.6">
      <c r="A25" s="9" t="s">
        <v>103</v>
      </c>
      <c r="B25" s="52">
        <v>2</v>
      </c>
      <c r="C25" s="52">
        <v>-0.78590109800000008</v>
      </c>
      <c r="D25" s="52">
        <v>9.1582978199999998E-2</v>
      </c>
      <c r="E25" s="52">
        <v>-0.72969009400000007</v>
      </c>
      <c r="F25" s="52">
        <v>-0.57198622399999999</v>
      </c>
      <c r="G25" s="52">
        <v>-0.48349566100000002</v>
      </c>
      <c r="H25" s="52">
        <v>1.28915767</v>
      </c>
      <c r="I25" s="52">
        <v>-1.7232091299999999</v>
      </c>
      <c r="J25" s="52">
        <v>1.83760853</v>
      </c>
      <c r="K25" s="52">
        <v>-1.1999940099999999</v>
      </c>
      <c r="M25" s="37"/>
      <c r="N25" s="46"/>
      <c r="O25" s="46"/>
      <c r="P25" s="46"/>
      <c r="Q25" s="46"/>
      <c r="R25" s="46"/>
      <c r="S25" s="46"/>
      <c r="T25" s="46"/>
      <c r="U25" s="46"/>
      <c r="V25" s="46"/>
      <c r="W25" s="47"/>
    </row>
    <row r="26" spans="1:23" ht="26.4">
      <c r="A26" s="9" t="s">
        <v>104</v>
      </c>
      <c r="B26" s="52">
        <v>2</v>
      </c>
      <c r="C26" s="52">
        <v>-2.2405989900000001</v>
      </c>
      <c r="D26" s="52">
        <v>2.3806653999999998</v>
      </c>
      <c r="E26" s="52">
        <v>1.44043678</v>
      </c>
      <c r="F26" s="52">
        <v>-0.735773809</v>
      </c>
      <c r="G26" s="52">
        <v>-0.44276510500000005</v>
      </c>
      <c r="H26" s="52">
        <v>-1.9923345800000001</v>
      </c>
      <c r="I26" s="52">
        <v>-3.1868110399999998</v>
      </c>
      <c r="J26" s="52">
        <v>-0.84276280600000009</v>
      </c>
      <c r="K26" s="52">
        <v>6.7082348399999997E-3</v>
      </c>
      <c r="M26" s="37"/>
      <c r="N26" s="46"/>
      <c r="O26" s="46"/>
      <c r="P26" s="46"/>
      <c r="Q26" s="46"/>
      <c r="R26" s="46"/>
      <c r="S26" s="46"/>
      <c r="T26" s="46"/>
      <c r="U26" s="46"/>
      <c r="V26" s="46"/>
      <c r="W26" s="47"/>
    </row>
    <row r="27" spans="1:23">
      <c r="A27" s="24" t="s">
        <v>114</v>
      </c>
      <c r="B27" s="54"/>
      <c r="C27" s="54">
        <f>AVERAGE(C11:C26)</f>
        <v>-0.31328332427500005</v>
      </c>
      <c r="D27" s="54">
        <f t="shared" ref="D27:K27" si="2">AVERAGE(D11:D26)</f>
        <v>0.90764365163125005</v>
      </c>
      <c r="E27" s="54">
        <f t="shared" si="2"/>
        <v>0.99807900649999992</v>
      </c>
      <c r="F27" s="54">
        <f t="shared" si="2"/>
        <v>-0.57853655243750002</v>
      </c>
      <c r="G27" s="54">
        <f t="shared" si="2"/>
        <v>-0.50386093913749996</v>
      </c>
      <c r="H27" s="54">
        <f t="shared" si="2"/>
        <v>-1.6916706056250008E-2</v>
      </c>
      <c r="I27" s="54">
        <f t="shared" si="2"/>
        <v>-1.0301091854937499</v>
      </c>
      <c r="J27" s="54">
        <f t="shared" si="2"/>
        <v>-0.49622908345000005</v>
      </c>
      <c r="K27" s="54">
        <f t="shared" si="2"/>
        <v>-0.57592341288499993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7"/>
    </row>
    <row r="28" spans="1:23">
      <c r="A28" s="9"/>
      <c r="B28" s="52"/>
      <c r="C28" s="56">
        <v>2.3385590000000001</v>
      </c>
      <c r="D28" s="56">
        <v>2.6829700000000001</v>
      </c>
      <c r="E28" s="56">
        <v>3.2655470000000002</v>
      </c>
      <c r="F28" s="56">
        <v>4.1525730000000003</v>
      </c>
      <c r="G28" s="56">
        <v>1.6225290000000001</v>
      </c>
      <c r="H28" s="56">
        <v>1.165675</v>
      </c>
      <c r="I28" s="56">
        <v>3.3817719999999998</v>
      </c>
      <c r="J28" s="56">
        <v>3.6140759999999998</v>
      </c>
      <c r="K28" s="56">
        <v>3.1442199999999998</v>
      </c>
      <c r="L28" s="56">
        <v>2.4191980000000002</v>
      </c>
      <c r="M28" s="56">
        <v>2.336522</v>
      </c>
      <c r="N28" s="56">
        <v>4.4089489999999998</v>
      </c>
      <c r="O28" s="56">
        <v>1.6403239999999999</v>
      </c>
      <c r="P28" s="56">
        <v>4.1925600000000003</v>
      </c>
      <c r="Q28" s="56">
        <v>3.4492669999999999</v>
      </c>
      <c r="R28" s="56">
        <v>3.8886579999999999</v>
      </c>
      <c r="S28" s="56">
        <v>1E-35</v>
      </c>
      <c r="T28" s="46"/>
      <c r="U28" s="46"/>
      <c r="V28" s="46"/>
      <c r="W28" s="47"/>
    </row>
    <row r="29" spans="1:23">
      <c r="A29" s="9"/>
      <c r="B29" s="52"/>
      <c r="C29" s="52">
        <f>C28*C28</f>
        <v>5.4688581964810004</v>
      </c>
      <c r="D29" s="52">
        <f t="shared" ref="D29:S29" si="3">D28*D28</f>
        <v>7.1983280209</v>
      </c>
      <c r="E29" s="52">
        <f t="shared" si="3"/>
        <v>10.663797209209001</v>
      </c>
      <c r="F29" s="52">
        <f t="shared" si="3"/>
        <v>17.243862520329003</v>
      </c>
      <c r="G29" s="52">
        <f t="shared" si="3"/>
        <v>2.6326003558410003</v>
      </c>
      <c r="H29" s="52">
        <f t="shared" si="3"/>
        <v>1.3587982056250001</v>
      </c>
      <c r="I29" s="52">
        <f t="shared" si="3"/>
        <v>11.436381859983998</v>
      </c>
      <c r="J29" s="52">
        <f t="shared" si="3"/>
        <v>13.061545333775999</v>
      </c>
      <c r="K29" s="52">
        <f t="shared" si="3"/>
        <v>9.886119408399999</v>
      </c>
      <c r="L29" s="52">
        <f t="shared" si="3"/>
        <v>5.8525189632040009</v>
      </c>
      <c r="M29" s="52">
        <f t="shared" si="3"/>
        <v>5.459335056484</v>
      </c>
      <c r="N29" s="52">
        <f t="shared" si="3"/>
        <v>19.438831284600997</v>
      </c>
      <c r="O29" s="52">
        <f t="shared" si="3"/>
        <v>2.6906628249759996</v>
      </c>
      <c r="P29" s="52">
        <f t="shared" si="3"/>
        <v>17.577559353600002</v>
      </c>
      <c r="Q29" s="52">
        <f t="shared" si="3"/>
        <v>11.897442837288999</v>
      </c>
      <c r="R29" s="52">
        <f t="shared" si="3"/>
        <v>15.121661040964</v>
      </c>
      <c r="S29" s="52">
        <f t="shared" si="3"/>
        <v>1E-70</v>
      </c>
      <c r="T29" s="46"/>
      <c r="U29" s="46"/>
      <c r="V29" s="46"/>
      <c r="W29" s="47"/>
    </row>
    <row r="30" spans="1:23">
      <c r="A30" s="25" t="s">
        <v>117</v>
      </c>
      <c r="B30" s="55">
        <f>SUM(C29:S29)</f>
        <v>156.98830247166299</v>
      </c>
      <c r="C30" s="52"/>
      <c r="D30" s="52"/>
      <c r="E30" s="52"/>
      <c r="F30" s="52"/>
      <c r="G30" s="52"/>
      <c r="H30" s="52"/>
      <c r="I30" s="52"/>
      <c r="J30" s="52"/>
      <c r="K30" s="52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7"/>
    </row>
    <row r="31" spans="1:23">
      <c r="A31" s="9" t="s">
        <v>21</v>
      </c>
      <c r="B31" s="52">
        <v>3</v>
      </c>
      <c r="C31" s="52">
        <v>0.26165102900000003</v>
      </c>
      <c r="D31" s="52">
        <v>0.15571074400000001</v>
      </c>
      <c r="E31" s="52">
        <v>-8.1861548300000003E-2</v>
      </c>
      <c r="F31" s="52">
        <v>4.13360111E-2</v>
      </c>
      <c r="G31" s="52">
        <v>0.94207380600000001</v>
      </c>
      <c r="H31" s="52">
        <v>-1.57935767</v>
      </c>
      <c r="I31" s="52">
        <v>0.13443945200000001</v>
      </c>
      <c r="J31" s="52">
        <v>-0.49048543</v>
      </c>
      <c r="K31" s="52">
        <v>-0.32480337100000001</v>
      </c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7"/>
    </row>
    <row r="32" spans="1:23" ht="26.4">
      <c r="A32" s="9" t="s">
        <v>23</v>
      </c>
      <c r="B32" s="52">
        <v>3</v>
      </c>
      <c r="C32" s="52">
        <v>0.121694672</v>
      </c>
      <c r="D32" s="52">
        <v>-0.47302017800000001</v>
      </c>
      <c r="E32" s="52">
        <v>-1.2214867599999999</v>
      </c>
      <c r="F32" s="52">
        <v>0.295124522</v>
      </c>
      <c r="G32" s="52">
        <v>0.331115463</v>
      </c>
      <c r="H32" s="52">
        <v>0.34600768700000001</v>
      </c>
      <c r="I32" s="52">
        <v>0.69736326400000004</v>
      </c>
      <c r="J32" s="52">
        <v>0.305967767</v>
      </c>
      <c r="K32" s="52">
        <v>0.29843844800000002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7"/>
    </row>
    <row r="33" spans="1:23" ht="26.4">
      <c r="A33" s="9" t="s">
        <v>24</v>
      </c>
      <c r="B33" s="52">
        <v>3</v>
      </c>
      <c r="C33" s="52">
        <v>-0.72652567400000001</v>
      </c>
      <c r="D33" s="52">
        <v>-0.27784871700000002</v>
      </c>
      <c r="E33" s="52">
        <v>-0.165308975</v>
      </c>
      <c r="F33" s="52">
        <v>6.013516E-2</v>
      </c>
      <c r="G33" s="52">
        <v>0.8606126930000001</v>
      </c>
      <c r="H33" s="52">
        <v>0.47436537700000003</v>
      </c>
      <c r="I33" s="52">
        <v>0.30331659500000002</v>
      </c>
      <c r="J33" s="52">
        <v>-0.55175106100000004</v>
      </c>
      <c r="K33" s="52">
        <v>-1.0408684399999999</v>
      </c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7"/>
    </row>
    <row r="34" spans="1:23" ht="26.4">
      <c r="A34" s="9" t="s">
        <v>25</v>
      </c>
      <c r="B34" s="52">
        <v>3</v>
      </c>
      <c r="C34" s="52">
        <v>1.04625485</v>
      </c>
      <c r="D34" s="52">
        <v>-0.61939877399999999</v>
      </c>
      <c r="E34" s="52">
        <v>1.1510865299999999</v>
      </c>
      <c r="F34" s="52">
        <v>0.12358228800000001</v>
      </c>
      <c r="G34" s="52">
        <v>0.45330713100000003</v>
      </c>
      <c r="H34" s="52">
        <v>0.11440576700000001</v>
      </c>
      <c r="I34" s="52">
        <v>7.8147070400000004E-2</v>
      </c>
      <c r="J34" s="52">
        <v>-0.52111824600000001</v>
      </c>
      <c r="K34" s="52">
        <v>-0.28502197800000001</v>
      </c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7"/>
    </row>
    <row r="35" spans="1:23" ht="26.4">
      <c r="A35" s="9" t="s">
        <v>26</v>
      </c>
      <c r="B35" s="52">
        <v>3</v>
      </c>
      <c r="C35" s="52">
        <v>-1.0573316100000001</v>
      </c>
      <c r="D35" s="52">
        <v>8.6006650700000006E-2</v>
      </c>
      <c r="E35" s="52">
        <v>-0.30603392600000001</v>
      </c>
      <c r="F35" s="52">
        <v>-0.40984356400000005</v>
      </c>
      <c r="G35" s="52">
        <v>0.24965435</v>
      </c>
      <c r="H35" s="52">
        <v>2.0313999699999998</v>
      </c>
      <c r="I35" s="52">
        <v>-9.0730073300000005E-2</v>
      </c>
      <c r="J35" s="52">
        <v>-0.23010650100000002</v>
      </c>
      <c r="K35" s="52">
        <v>-1.59780794</v>
      </c>
      <c r="M35" s="37"/>
      <c r="N35" s="46"/>
      <c r="O35" s="46"/>
      <c r="P35" s="46"/>
      <c r="Q35" s="46"/>
      <c r="R35" s="46"/>
      <c r="S35" s="46"/>
      <c r="T35" s="46"/>
      <c r="U35" s="46"/>
      <c r="V35" s="46"/>
      <c r="W35" s="47"/>
    </row>
    <row r="36" spans="1:23">
      <c r="A36" s="9" t="s">
        <v>27</v>
      </c>
      <c r="B36" s="52">
        <v>3</v>
      </c>
      <c r="C36" s="52">
        <v>-7.7637109300000007E-2</v>
      </c>
      <c r="D36" s="52">
        <v>-0.272272389</v>
      </c>
      <c r="E36" s="52">
        <v>-1.2891334999999999</v>
      </c>
      <c r="F36" s="52">
        <v>0.149431118</v>
      </c>
      <c r="G36" s="52">
        <v>-7.6190099300000008E-2</v>
      </c>
      <c r="H36" s="52">
        <v>0.32647499500000005</v>
      </c>
      <c r="I36" s="52">
        <v>0.92253278900000002</v>
      </c>
      <c r="J36" s="52">
        <v>0.21406932100000001</v>
      </c>
      <c r="K36" s="52">
        <v>-0.92152426100000007</v>
      </c>
      <c r="M36" s="37"/>
      <c r="N36" s="46"/>
      <c r="O36" s="46"/>
      <c r="P36" s="46"/>
      <c r="Q36" s="46"/>
      <c r="R36" s="46"/>
      <c r="S36" s="46"/>
      <c r="T36" s="46"/>
      <c r="U36" s="46"/>
      <c r="V36" s="46"/>
      <c r="W36" s="47"/>
    </row>
    <row r="37" spans="1:23">
      <c r="A37" s="9" t="s">
        <v>28</v>
      </c>
      <c r="B37" s="52">
        <v>3</v>
      </c>
      <c r="C37" s="52">
        <v>-0.13701253300000002</v>
      </c>
      <c r="D37" s="52">
        <v>0.81092922200000006</v>
      </c>
      <c r="E37" s="52">
        <v>-0.97114448300000011</v>
      </c>
      <c r="F37" s="52">
        <v>0.60531047999999998</v>
      </c>
      <c r="G37" s="52">
        <v>0.73842102500000006</v>
      </c>
      <c r="H37" s="52">
        <v>2.7903845699999998E-3</v>
      </c>
      <c r="I37" s="52">
        <v>1.1477023100000001</v>
      </c>
      <c r="J37" s="52">
        <v>-0.75086436000000001</v>
      </c>
      <c r="K37" s="52">
        <v>0.17909427</v>
      </c>
      <c r="M37" s="37"/>
      <c r="N37" s="46"/>
      <c r="O37" s="46"/>
      <c r="P37" s="46"/>
      <c r="Q37" s="46"/>
      <c r="R37" s="46"/>
      <c r="S37" s="46"/>
      <c r="T37" s="46"/>
      <c r="U37" s="46"/>
      <c r="V37" s="46"/>
      <c r="W37" s="47"/>
    </row>
    <row r="38" spans="1:23" ht="26.4">
      <c r="A38" s="9" t="s">
        <v>30</v>
      </c>
      <c r="B38" s="52">
        <v>3</v>
      </c>
      <c r="C38" s="52">
        <v>-0.382996434</v>
      </c>
      <c r="D38" s="52">
        <v>2.0484803000000003E-2</v>
      </c>
      <c r="E38" s="52">
        <v>1.39204715</v>
      </c>
      <c r="F38" s="52">
        <v>0.22932750100000002</v>
      </c>
      <c r="G38" s="52">
        <v>0.16819323800000002</v>
      </c>
      <c r="H38" s="52">
        <v>-0.139519228</v>
      </c>
      <c r="I38" s="52">
        <v>0.64107088300000004</v>
      </c>
      <c r="J38" s="52">
        <v>-0.61301669200000009</v>
      </c>
      <c r="K38" s="52">
        <v>1.2929732600000001</v>
      </c>
      <c r="M38" s="37"/>
      <c r="N38" s="46"/>
      <c r="O38" s="46"/>
      <c r="P38" s="46"/>
      <c r="Q38" s="46"/>
      <c r="R38" s="46"/>
      <c r="S38" s="46"/>
      <c r="T38" s="46"/>
      <c r="U38" s="46"/>
      <c r="V38" s="46"/>
      <c r="W38" s="47"/>
    </row>
    <row r="39" spans="1:23">
      <c r="A39" s="9" t="s">
        <v>31</v>
      </c>
      <c r="B39" s="52">
        <v>3</v>
      </c>
      <c r="C39" s="52">
        <v>0.67727899800000002</v>
      </c>
      <c r="D39" s="52">
        <v>-0.40749833000000002</v>
      </c>
      <c r="E39" s="52">
        <v>-0.12975740900000002</v>
      </c>
      <c r="F39" s="52">
        <v>-6.4409201900000004E-2</v>
      </c>
      <c r="G39" s="52">
        <v>5.27101316E-3</v>
      </c>
      <c r="H39" s="52">
        <v>0.91524613900000007</v>
      </c>
      <c r="I39" s="52">
        <v>0.24702421400000002</v>
      </c>
      <c r="J39" s="52">
        <v>-0.21479009300000002</v>
      </c>
      <c r="K39" s="52">
        <v>1.9968699100000001E-2</v>
      </c>
      <c r="M39" s="37"/>
      <c r="N39" s="46"/>
      <c r="O39" s="46"/>
      <c r="P39" s="46"/>
      <c r="Q39" s="46"/>
      <c r="R39" s="46"/>
      <c r="S39" s="46"/>
      <c r="T39" s="46"/>
      <c r="U39" s="46"/>
      <c r="V39" s="46"/>
      <c r="W39" s="47"/>
    </row>
    <row r="40" spans="1:23" ht="26.4">
      <c r="A40" s="9" t="s">
        <v>32</v>
      </c>
      <c r="B40" s="52">
        <v>3</v>
      </c>
      <c r="C40" s="52">
        <v>-0.76469558900000001</v>
      </c>
      <c r="D40" s="52">
        <v>0.43592119900000004</v>
      </c>
      <c r="E40" s="52">
        <v>-0.91929844900000002</v>
      </c>
      <c r="F40" s="52">
        <v>5.54353728E-2</v>
      </c>
      <c r="G40" s="52">
        <v>0.57549879999999998</v>
      </c>
      <c r="H40" s="52">
        <v>-7.8130767900000009E-2</v>
      </c>
      <c r="I40" s="52">
        <v>0.24702421400000002</v>
      </c>
      <c r="J40" s="52">
        <v>4.5588836800000004E-2</v>
      </c>
      <c r="K40" s="52">
        <v>1.22667094</v>
      </c>
      <c r="M40" s="37"/>
      <c r="N40" s="46"/>
      <c r="O40" s="46"/>
      <c r="P40" s="46"/>
      <c r="Q40" s="46"/>
      <c r="R40" s="46"/>
      <c r="S40" s="46"/>
      <c r="T40" s="46"/>
      <c r="U40" s="46"/>
      <c r="V40" s="46"/>
      <c r="W40" s="47"/>
    </row>
    <row r="41" spans="1:23">
      <c r="A41" s="9" t="s">
        <v>34</v>
      </c>
      <c r="B41" s="52">
        <v>3</v>
      </c>
      <c r="C41" s="52">
        <v>-0.77741889400000008</v>
      </c>
      <c r="D41" s="52">
        <v>-0.66122122999999999</v>
      </c>
      <c r="E41" s="52">
        <v>-0.161852573</v>
      </c>
      <c r="F41" s="52">
        <v>-0.139605798</v>
      </c>
      <c r="G41" s="52">
        <v>-0.56495677399999999</v>
      </c>
      <c r="H41" s="52">
        <v>0.53296345300000003</v>
      </c>
      <c r="I41" s="52">
        <v>0.86624040700000005</v>
      </c>
      <c r="J41" s="52">
        <v>-0.24542290800000002</v>
      </c>
      <c r="K41" s="52">
        <v>0.192354734</v>
      </c>
      <c r="M41" s="37"/>
      <c r="N41" s="46"/>
      <c r="O41" s="46"/>
      <c r="P41" s="46"/>
      <c r="Q41" s="46"/>
      <c r="R41" s="46"/>
      <c r="S41" s="46"/>
      <c r="T41" s="46"/>
      <c r="U41" s="46"/>
      <c r="V41" s="46"/>
      <c r="W41" s="47"/>
    </row>
    <row r="42" spans="1:23">
      <c r="A42" s="9" t="s">
        <v>35</v>
      </c>
      <c r="B42" s="52">
        <v>3</v>
      </c>
      <c r="C42" s="52">
        <v>-1.2972781799999999E-3</v>
      </c>
      <c r="D42" s="52">
        <v>-0.47302017800000001</v>
      </c>
      <c r="E42" s="52">
        <v>-0.48428553100000005</v>
      </c>
      <c r="F42" s="52">
        <v>0.27162558600000003</v>
      </c>
      <c r="G42" s="52">
        <v>1.3493793700000001</v>
      </c>
      <c r="H42" s="52">
        <v>0.41576730100000003</v>
      </c>
      <c r="I42" s="52">
        <v>0.58477850100000006</v>
      </c>
      <c r="J42" s="52">
        <v>-0.32200494600000001</v>
      </c>
      <c r="K42" s="52">
        <v>1.2399314100000001</v>
      </c>
      <c r="M42" s="37"/>
      <c r="N42" s="46"/>
      <c r="O42" s="46"/>
      <c r="P42" s="46"/>
      <c r="Q42" s="46"/>
      <c r="R42" s="46"/>
      <c r="S42" s="46"/>
      <c r="T42" s="46"/>
      <c r="U42" s="46"/>
      <c r="V42" s="46"/>
      <c r="W42" s="47"/>
    </row>
    <row r="43" spans="1:23" ht="26.4">
      <c r="A43" s="9" t="s">
        <v>36</v>
      </c>
      <c r="B43" s="52">
        <v>3</v>
      </c>
      <c r="C43" s="52">
        <v>-0.69259685999999998</v>
      </c>
      <c r="D43" s="52">
        <v>0.13340543400000002</v>
      </c>
      <c r="E43" s="52">
        <v>0.24550912700000002</v>
      </c>
      <c r="F43" s="52">
        <v>-5.9709414600000003E-2</v>
      </c>
      <c r="G43" s="52">
        <v>0.77915158100000004</v>
      </c>
      <c r="H43" s="52">
        <v>0.47994614600000002</v>
      </c>
      <c r="I43" s="52">
        <v>0.86624040700000005</v>
      </c>
      <c r="J43" s="52">
        <v>-0.62833309900000001</v>
      </c>
      <c r="K43" s="52">
        <v>0.51060587499999999</v>
      </c>
      <c r="M43" s="37"/>
      <c r="N43" s="46"/>
      <c r="O43" s="46"/>
      <c r="P43" s="46"/>
      <c r="Q43" s="46"/>
      <c r="R43" s="46"/>
      <c r="S43" s="46"/>
      <c r="T43" s="46"/>
      <c r="U43" s="46"/>
      <c r="V43" s="46"/>
      <c r="W43" s="47"/>
    </row>
    <row r="44" spans="1:23" ht="26.4">
      <c r="A44" s="9" t="s">
        <v>43</v>
      </c>
      <c r="B44" s="52">
        <v>3</v>
      </c>
      <c r="C44" s="52">
        <v>-0.11156592300000001</v>
      </c>
      <c r="D44" s="52">
        <v>0.57532938600000005</v>
      </c>
      <c r="E44" s="52">
        <v>-0.22505535800000001</v>
      </c>
      <c r="F44" s="52">
        <v>0.48311601200000004</v>
      </c>
      <c r="G44" s="52">
        <v>0.37184601900000003</v>
      </c>
      <c r="H44" s="52">
        <v>7.5340383400000002E-2</v>
      </c>
      <c r="I44" s="52">
        <v>0.97882517000000002</v>
      </c>
      <c r="J44" s="52">
        <v>-3.60386062E-4</v>
      </c>
      <c r="K44" s="52">
        <v>1.2929732600000001</v>
      </c>
      <c r="M44" s="48"/>
      <c r="N44" s="46"/>
      <c r="O44" s="46"/>
      <c r="P44" s="46"/>
      <c r="Q44" s="46"/>
      <c r="R44" s="46"/>
      <c r="S44" s="46"/>
      <c r="T44" s="46"/>
      <c r="U44" s="46"/>
      <c r="V44" s="46"/>
      <c r="W44" s="47"/>
    </row>
    <row r="45" spans="1:23" ht="26.4">
      <c r="A45" s="9" t="s">
        <v>49</v>
      </c>
      <c r="B45" s="52">
        <v>3</v>
      </c>
      <c r="C45" s="52">
        <v>1.20317561</v>
      </c>
      <c r="D45" s="52">
        <v>-0.668191639</v>
      </c>
      <c r="E45" s="52">
        <v>-1.10495663</v>
      </c>
      <c r="F45" s="52">
        <v>0.61471005500000009</v>
      </c>
      <c r="G45" s="52">
        <v>-0.60568732999999997</v>
      </c>
      <c r="H45" s="52">
        <v>-0.32089422500000003</v>
      </c>
      <c r="I45" s="52">
        <v>-1.94837865</v>
      </c>
      <c r="J45" s="52">
        <v>0.41318262</v>
      </c>
      <c r="K45" s="52">
        <v>-1.2928172600000001</v>
      </c>
      <c r="M45" s="37"/>
      <c r="N45" s="46"/>
      <c r="O45" s="46"/>
      <c r="P45" s="46"/>
      <c r="Q45" s="46"/>
      <c r="R45" s="46"/>
      <c r="S45" s="46"/>
      <c r="T45" s="46"/>
      <c r="U45" s="46"/>
      <c r="V45" s="46"/>
      <c r="W45" s="47"/>
    </row>
    <row r="46" spans="1:23" ht="26.4">
      <c r="A46" s="9" t="s">
        <v>50</v>
      </c>
      <c r="B46" s="52">
        <v>3</v>
      </c>
      <c r="C46" s="52">
        <v>0.668796795</v>
      </c>
      <c r="D46" s="52">
        <v>-0.29457769900000003</v>
      </c>
      <c r="E46" s="52">
        <v>-0.90053512200000008</v>
      </c>
      <c r="F46" s="52">
        <v>-0.61663420300000005</v>
      </c>
      <c r="G46" s="52">
        <v>-0.40203454900000002</v>
      </c>
      <c r="H46" s="52">
        <v>3.4377537899999999</v>
      </c>
      <c r="I46" s="52">
        <v>1.4291642200000001</v>
      </c>
      <c r="J46" s="52">
        <v>-0.260739316</v>
      </c>
      <c r="K46" s="52">
        <v>-7.2854550500000004E-2</v>
      </c>
      <c r="M46" s="37"/>
      <c r="N46" s="46"/>
      <c r="O46" s="46"/>
      <c r="P46" s="46"/>
      <c r="Q46" s="46"/>
      <c r="R46" s="46"/>
      <c r="S46" s="46"/>
      <c r="T46" s="46"/>
      <c r="U46" s="46"/>
      <c r="V46" s="46"/>
      <c r="W46" s="47"/>
    </row>
    <row r="47" spans="1:23" ht="26.4">
      <c r="A47" s="9" t="s">
        <v>53</v>
      </c>
      <c r="B47" s="52">
        <v>3</v>
      </c>
      <c r="C47" s="52">
        <v>-0.43813075600000001</v>
      </c>
      <c r="D47" s="52">
        <v>-0.36567587400000001</v>
      </c>
      <c r="E47" s="52">
        <v>-0.785486303</v>
      </c>
      <c r="F47" s="52">
        <v>-0.53908771300000002</v>
      </c>
      <c r="G47" s="52">
        <v>0.57549879999999998</v>
      </c>
      <c r="H47" s="52">
        <v>-2.5113461100000001E-2</v>
      </c>
      <c r="I47" s="52">
        <v>-0.315899598</v>
      </c>
      <c r="J47" s="52">
        <v>1.0717881499999999</v>
      </c>
      <c r="K47" s="52">
        <v>-9.9375478900000008E-2</v>
      </c>
      <c r="M47" s="37"/>
      <c r="N47" s="46"/>
      <c r="O47" s="46"/>
      <c r="P47" s="46"/>
      <c r="Q47" s="46"/>
      <c r="R47" s="46"/>
      <c r="S47" s="46"/>
      <c r="T47" s="46"/>
      <c r="U47" s="46"/>
      <c r="V47" s="46"/>
      <c r="W47" s="47"/>
    </row>
    <row r="48" spans="1:23" ht="26.4">
      <c r="A48" s="9" t="s">
        <v>54</v>
      </c>
      <c r="B48" s="52">
        <v>3</v>
      </c>
      <c r="C48" s="52">
        <v>-0.51447058700000003</v>
      </c>
      <c r="D48" s="52">
        <v>-0.39913383900000005</v>
      </c>
      <c r="E48" s="52">
        <v>-0.97558842900000009</v>
      </c>
      <c r="F48" s="52">
        <v>-0.37459515999999998</v>
      </c>
      <c r="G48" s="52">
        <v>-0.68714844200000003</v>
      </c>
      <c r="H48" s="52">
        <v>2.7903845699999998E-3</v>
      </c>
      <c r="I48" s="52">
        <v>0.13443945200000001</v>
      </c>
      <c r="J48" s="52">
        <v>0.61229591900000002</v>
      </c>
      <c r="K48" s="52">
        <v>1.63774533</v>
      </c>
      <c r="M48" s="37"/>
      <c r="N48" s="46"/>
      <c r="O48" s="46"/>
      <c r="P48" s="46"/>
      <c r="Q48" s="46"/>
      <c r="R48" s="46"/>
      <c r="S48" s="46"/>
      <c r="T48" s="46"/>
      <c r="U48" s="46"/>
      <c r="V48" s="46"/>
      <c r="W48" s="47"/>
    </row>
    <row r="49" spans="1:51" ht="26.4">
      <c r="A49" s="9" t="s">
        <v>55</v>
      </c>
      <c r="B49" s="52">
        <v>3</v>
      </c>
      <c r="C49" s="52">
        <v>-0.46357736700000002</v>
      </c>
      <c r="D49" s="52">
        <v>0.92942617999999999</v>
      </c>
      <c r="E49" s="52">
        <v>-0.272951218</v>
      </c>
      <c r="F49" s="52">
        <v>-9.0258031700000005E-2</v>
      </c>
      <c r="G49" s="52">
        <v>-0.56495677399999999</v>
      </c>
      <c r="H49" s="52">
        <v>-0.8315346010000001</v>
      </c>
      <c r="I49" s="52">
        <v>1.0351175500000001</v>
      </c>
      <c r="J49" s="52">
        <v>0.48976465800000002</v>
      </c>
      <c r="K49" s="52">
        <v>0.47082448300000002</v>
      </c>
      <c r="M49" s="37"/>
      <c r="N49" s="46"/>
      <c r="O49" s="46"/>
      <c r="P49" s="46"/>
      <c r="Q49" s="46"/>
      <c r="R49" s="46"/>
      <c r="S49" s="46"/>
      <c r="T49" s="46"/>
      <c r="U49" s="46"/>
      <c r="V49" s="46"/>
      <c r="W49" s="47"/>
    </row>
    <row r="50" spans="1:51" ht="26.4">
      <c r="A50" s="9" t="s">
        <v>63</v>
      </c>
      <c r="B50" s="52">
        <v>3</v>
      </c>
      <c r="C50" s="52">
        <v>-2.67438885E-2</v>
      </c>
      <c r="D50" s="52">
        <v>-1.1589084599999999</v>
      </c>
      <c r="E50" s="52">
        <v>0.15860529800000001</v>
      </c>
      <c r="F50" s="52">
        <v>-7.6158669999999998E-2</v>
      </c>
      <c r="G50" s="52">
        <v>-1.094454</v>
      </c>
      <c r="H50" s="52">
        <v>-0.27066730300000003</v>
      </c>
      <c r="I50" s="52">
        <v>1.7106261300000001</v>
      </c>
      <c r="J50" s="52">
        <v>1.9754562</v>
      </c>
      <c r="K50" s="52">
        <v>0.39126169700000002</v>
      </c>
      <c r="M50" s="37"/>
      <c r="N50" s="46"/>
      <c r="O50" s="46"/>
      <c r="P50" s="46"/>
      <c r="Q50" s="46"/>
      <c r="R50" s="46"/>
      <c r="S50" s="46"/>
      <c r="T50" s="46"/>
      <c r="U50" s="46"/>
      <c r="V50" s="46"/>
      <c r="W50" s="47"/>
    </row>
    <row r="51" spans="1:51" ht="26.4">
      <c r="A51" s="9" t="s">
        <v>64</v>
      </c>
      <c r="B51" s="52">
        <v>3</v>
      </c>
      <c r="C51" s="52">
        <v>0.35495526700000002</v>
      </c>
      <c r="D51" s="52">
        <v>-0.52738937100000005</v>
      </c>
      <c r="E51" s="52">
        <v>1.56980498</v>
      </c>
      <c r="F51" s="52">
        <v>3.4286330199999999E-2</v>
      </c>
      <c r="G51" s="52">
        <v>4.6001569400000004E-2</v>
      </c>
      <c r="H51" s="52">
        <v>-0.77293652600000007</v>
      </c>
      <c r="I51" s="52">
        <v>-0.20331483600000003</v>
      </c>
      <c r="J51" s="52">
        <v>0.26001854400000002</v>
      </c>
      <c r="K51" s="52">
        <v>-0.28502197800000001</v>
      </c>
      <c r="M51" s="37"/>
      <c r="N51" s="46"/>
      <c r="O51" s="46"/>
      <c r="P51" s="46"/>
      <c r="Q51" s="46"/>
      <c r="R51" s="46"/>
      <c r="S51" s="46"/>
      <c r="T51" s="46"/>
      <c r="U51" s="46"/>
      <c r="V51" s="46"/>
      <c r="W51" s="47"/>
    </row>
    <row r="52" spans="1:51" ht="26.4">
      <c r="A52" s="9" t="s">
        <v>65</v>
      </c>
      <c r="B52" s="52">
        <v>3</v>
      </c>
      <c r="C52" s="52">
        <v>0.33374975800000001</v>
      </c>
      <c r="D52" s="52">
        <v>0.25887280200000001</v>
      </c>
      <c r="E52" s="52">
        <v>0.48202579900000003</v>
      </c>
      <c r="F52" s="52">
        <v>-0.20540281900000001</v>
      </c>
      <c r="G52" s="52">
        <v>-0.52422621800000002</v>
      </c>
      <c r="H52" s="52">
        <v>0.29299037999999999</v>
      </c>
      <c r="I52" s="52">
        <v>0.75365564500000004</v>
      </c>
      <c r="J52" s="52">
        <v>1.5312803800000001</v>
      </c>
      <c r="K52" s="52">
        <v>-0.36458476300000003</v>
      </c>
      <c r="M52" s="37"/>
      <c r="N52" s="46"/>
      <c r="O52" s="46"/>
      <c r="P52" s="46"/>
      <c r="Q52" s="46"/>
      <c r="R52" s="46"/>
      <c r="S52" s="46"/>
      <c r="T52" s="46"/>
      <c r="U52" s="46"/>
      <c r="V52" s="46"/>
      <c r="W52" s="47"/>
    </row>
    <row r="53" spans="1:51" ht="26.4">
      <c r="A53" s="9" t="s">
        <v>66</v>
      </c>
      <c r="B53" s="52">
        <v>3</v>
      </c>
      <c r="C53" s="52">
        <v>1.10138917</v>
      </c>
      <c r="D53" s="52">
        <v>-0.71280225900000005</v>
      </c>
      <c r="E53" s="52">
        <v>-1.0634798000000001</v>
      </c>
      <c r="F53" s="52">
        <v>-1.9761223099999999E-2</v>
      </c>
      <c r="G53" s="52">
        <v>-0.23911232400000001</v>
      </c>
      <c r="H53" s="52">
        <v>-0.56086729800000001</v>
      </c>
      <c r="I53" s="52">
        <v>-0.76623864800000008</v>
      </c>
      <c r="J53" s="52">
        <v>1.92950698</v>
      </c>
      <c r="K53" s="52">
        <v>-0.37784522800000003</v>
      </c>
      <c r="M53" s="37"/>
      <c r="N53" s="46"/>
      <c r="O53" s="46"/>
      <c r="P53" s="46"/>
      <c r="Q53" s="46"/>
      <c r="R53" s="46"/>
      <c r="S53" s="46"/>
      <c r="T53" s="46"/>
      <c r="U53" s="46"/>
      <c r="V53" s="46"/>
      <c r="W53" s="47"/>
    </row>
    <row r="54" spans="1:51" ht="26.4">
      <c r="A54" s="9" t="s">
        <v>68</v>
      </c>
      <c r="B54" s="52">
        <v>3</v>
      </c>
      <c r="C54" s="52">
        <v>-0.11580702500000001</v>
      </c>
      <c r="D54" s="52">
        <v>0.19753319999999999</v>
      </c>
      <c r="E54" s="52">
        <v>0.81433419100000004</v>
      </c>
      <c r="F54" s="52">
        <v>-9.7307712599999999E-2</v>
      </c>
      <c r="G54" s="52">
        <v>-1.42029845</v>
      </c>
      <c r="H54" s="52">
        <v>-0.19253653500000001</v>
      </c>
      <c r="I54" s="52">
        <v>0.92253278900000002</v>
      </c>
      <c r="J54" s="52">
        <v>0.97988970300000011</v>
      </c>
      <c r="K54" s="52">
        <v>0.139312877</v>
      </c>
      <c r="M54" s="37"/>
      <c r="N54" s="46"/>
      <c r="O54" s="46"/>
      <c r="P54" s="46"/>
      <c r="Q54" s="46"/>
      <c r="R54" s="46"/>
      <c r="S54" s="46"/>
      <c r="T54" s="46"/>
      <c r="U54" s="46"/>
      <c r="V54" s="46"/>
      <c r="W54" s="47"/>
    </row>
    <row r="55" spans="1:51" ht="26.4">
      <c r="A55" s="9" t="s">
        <v>69</v>
      </c>
      <c r="B55" s="52">
        <v>3</v>
      </c>
      <c r="C55" s="52">
        <v>-2.2502786800000001E-2</v>
      </c>
      <c r="D55" s="52">
        <v>0.74401329199999999</v>
      </c>
      <c r="E55" s="52">
        <v>-0.20678580300000002</v>
      </c>
      <c r="F55" s="52">
        <v>0.38442048000000001</v>
      </c>
      <c r="G55" s="52">
        <v>0.29038490700000003</v>
      </c>
      <c r="H55" s="52">
        <v>-0.86501921600000009</v>
      </c>
      <c r="I55" s="52">
        <v>1.20399469</v>
      </c>
      <c r="J55" s="52">
        <v>0.12217087500000001</v>
      </c>
      <c r="K55" s="52">
        <v>-0.19219872800000001</v>
      </c>
      <c r="M55" s="37"/>
      <c r="N55" s="46"/>
      <c r="O55" s="46"/>
      <c r="P55" s="46"/>
      <c r="Q55" s="46"/>
      <c r="R55" s="46"/>
      <c r="S55" s="46"/>
      <c r="T55" s="46"/>
      <c r="U55" s="46"/>
      <c r="V55" s="46"/>
      <c r="W55" s="47"/>
    </row>
    <row r="56" spans="1:51">
      <c r="A56" s="9" t="s">
        <v>70</v>
      </c>
      <c r="B56" s="52">
        <v>3</v>
      </c>
      <c r="C56" s="52">
        <v>0.21924001200000001</v>
      </c>
      <c r="D56" s="52">
        <v>-0.88566841100000004</v>
      </c>
      <c r="E56" s="52">
        <v>0.23958386600000001</v>
      </c>
      <c r="F56" s="52">
        <v>-0.39104441500000003</v>
      </c>
      <c r="G56" s="52">
        <v>-0.40203454900000002</v>
      </c>
      <c r="H56" s="52">
        <v>-0.54970576000000004</v>
      </c>
      <c r="I56" s="52">
        <v>0.47219373900000006</v>
      </c>
      <c r="J56" s="52">
        <v>-9.2258831900000005E-2</v>
      </c>
      <c r="K56" s="52">
        <v>0.69625237400000006</v>
      </c>
      <c r="M56" s="37"/>
      <c r="N56" s="46"/>
      <c r="O56" s="46"/>
      <c r="P56" s="46"/>
      <c r="Q56" s="46"/>
      <c r="R56" s="46"/>
      <c r="S56" s="46"/>
      <c r="T56" s="46"/>
      <c r="U56" s="46"/>
      <c r="V56" s="46"/>
      <c r="W56" s="47"/>
    </row>
    <row r="57" spans="1:51" ht="26.4">
      <c r="A57" s="9" t="s">
        <v>71</v>
      </c>
      <c r="B57" s="52">
        <v>3</v>
      </c>
      <c r="C57" s="52">
        <v>-1.08277822</v>
      </c>
      <c r="D57" s="52">
        <v>0.22820300100000002</v>
      </c>
      <c r="E57" s="52">
        <v>0.14477968800000002</v>
      </c>
      <c r="F57" s="52">
        <v>-0.46389111700000002</v>
      </c>
      <c r="G57" s="52">
        <v>-0.15765121200000001</v>
      </c>
      <c r="H57" s="52">
        <v>1.14405767</v>
      </c>
      <c r="I57" s="52">
        <v>0.69736326400000004</v>
      </c>
      <c r="J57" s="52">
        <v>-0.58238387600000008</v>
      </c>
      <c r="K57" s="52">
        <v>-0.112635943</v>
      </c>
      <c r="M57" s="37"/>
      <c r="N57" s="46"/>
      <c r="O57" s="46"/>
      <c r="P57" s="46"/>
      <c r="Q57" s="46"/>
      <c r="R57" s="46"/>
      <c r="S57" s="46"/>
      <c r="T57" s="46"/>
      <c r="U57" s="46"/>
      <c r="V57" s="46"/>
      <c r="W57" s="47"/>
    </row>
    <row r="58" spans="1:51" ht="26.4">
      <c r="A58" s="9" t="s">
        <v>72</v>
      </c>
      <c r="B58" s="52">
        <v>3</v>
      </c>
      <c r="C58" s="52">
        <v>-0.72228457200000007</v>
      </c>
      <c r="D58" s="52">
        <v>0.13898176200000001</v>
      </c>
      <c r="E58" s="52">
        <v>0.66373380500000001</v>
      </c>
      <c r="F58" s="52">
        <v>8.4375003899999999E-3</v>
      </c>
      <c r="G58" s="52">
        <v>0.534768244</v>
      </c>
      <c r="H58" s="52">
        <v>1.4175153599999999</v>
      </c>
      <c r="I58" s="52">
        <v>-0.20331483600000003</v>
      </c>
      <c r="J58" s="52">
        <v>0.10685446700000001</v>
      </c>
      <c r="K58" s="52">
        <v>0.139312877</v>
      </c>
      <c r="M58" s="37"/>
      <c r="N58" s="49"/>
      <c r="O58" s="49"/>
      <c r="P58" s="49"/>
      <c r="Q58" s="49"/>
      <c r="R58" s="49"/>
      <c r="S58" s="49"/>
      <c r="T58" s="49"/>
      <c r="U58" s="49"/>
      <c r="V58" s="49"/>
    </row>
    <row r="59" spans="1:51" ht="26.4">
      <c r="A59" s="9" t="s">
        <v>73</v>
      </c>
      <c r="B59" s="52">
        <v>3</v>
      </c>
      <c r="C59" s="52">
        <v>0.30406204600000003</v>
      </c>
      <c r="D59" s="52">
        <v>0.101341551</v>
      </c>
      <c r="E59" s="52">
        <v>0.74668746100000005</v>
      </c>
      <c r="F59" s="52">
        <v>-0.35814590400000001</v>
      </c>
      <c r="G59" s="52">
        <v>0.29038490700000003</v>
      </c>
      <c r="H59" s="52">
        <v>-0.90687498500000008</v>
      </c>
      <c r="I59" s="52">
        <v>-3.4437691999999999E-2</v>
      </c>
      <c r="J59" s="52">
        <v>-3.0993201300000002E-2</v>
      </c>
      <c r="K59" s="52">
        <v>-0.81544054700000002</v>
      </c>
    </row>
    <row r="60" spans="1:51" ht="26.4">
      <c r="A60" s="9" t="s">
        <v>74</v>
      </c>
      <c r="B60" s="52">
        <v>3</v>
      </c>
      <c r="C60" s="52">
        <v>-0.20487016100000002</v>
      </c>
      <c r="D60" s="52">
        <v>-0.45489711400000005</v>
      </c>
      <c r="E60" s="52">
        <v>-0.25665674999999999</v>
      </c>
      <c r="F60" s="52">
        <v>-8.3208350799999997E-2</v>
      </c>
      <c r="G60" s="52">
        <v>4.6001569400000004E-2</v>
      </c>
      <c r="H60" s="52">
        <v>0.8315346010000001</v>
      </c>
      <c r="I60" s="52">
        <v>0.52848612000000006</v>
      </c>
      <c r="J60" s="52">
        <v>-0.398586985</v>
      </c>
      <c r="K60" s="52">
        <v>-0.25850105000000001</v>
      </c>
    </row>
    <row r="61" spans="1:51" ht="26.4">
      <c r="A61" s="9" t="s">
        <v>75</v>
      </c>
      <c r="B61" s="52">
        <v>3</v>
      </c>
      <c r="C61" s="52">
        <v>0.55004594600000001</v>
      </c>
      <c r="D61" s="52">
        <v>-0.42283323100000003</v>
      </c>
      <c r="E61" s="52">
        <v>0.36845829400000002</v>
      </c>
      <c r="F61" s="52">
        <v>9.3033670700000001E-2</v>
      </c>
      <c r="G61" s="52">
        <v>-0.60568732999999997</v>
      </c>
      <c r="H61" s="52">
        <v>-9.2082690800000006E-2</v>
      </c>
      <c r="I61" s="52">
        <v>0.30331659500000002</v>
      </c>
      <c r="J61" s="52">
        <v>0.36723339700000002</v>
      </c>
      <c r="K61" s="52">
        <v>0.285177984</v>
      </c>
    </row>
    <row r="62" spans="1:51" ht="26.4">
      <c r="A62" s="9" t="s">
        <v>76</v>
      </c>
      <c r="B62" s="52">
        <v>3</v>
      </c>
      <c r="C62" s="52">
        <v>-0.63322143600000003</v>
      </c>
      <c r="D62" s="52">
        <v>-6.8736436499999998E-2</v>
      </c>
      <c r="E62" s="52">
        <v>-0.69611361400000005</v>
      </c>
      <c r="F62" s="52">
        <v>-0.30644824500000001</v>
      </c>
      <c r="G62" s="52">
        <v>-0.68714844200000003</v>
      </c>
      <c r="H62" s="52">
        <v>0.19253653500000001</v>
      </c>
      <c r="I62" s="52">
        <v>0.24702421400000002</v>
      </c>
      <c r="J62" s="52">
        <v>0.41318262</v>
      </c>
      <c r="K62" s="52">
        <v>0.32495937600000002</v>
      </c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</row>
    <row r="63" spans="1:51" ht="26.4">
      <c r="A63" s="9" t="s">
        <v>77</v>
      </c>
      <c r="B63" s="52">
        <v>3</v>
      </c>
      <c r="C63" s="52">
        <v>-0.24304007700000002</v>
      </c>
      <c r="D63" s="52">
        <v>-1.82050691E-3</v>
      </c>
      <c r="E63" s="52">
        <v>-0.70006378899999999</v>
      </c>
      <c r="F63" s="52">
        <v>-0.11845675500000001</v>
      </c>
      <c r="G63" s="52">
        <v>0.331115463</v>
      </c>
      <c r="H63" s="52">
        <v>-0.61667499000000003</v>
      </c>
      <c r="I63" s="52">
        <v>-0.54106912299999999</v>
      </c>
      <c r="J63" s="52">
        <v>0.68887795800000007</v>
      </c>
      <c r="K63" s="52">
        <v>-0.76239869000000005</v>
      </c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</row>
    <row r="64" spans="1:51" ht="26.4">
      <c r="A64" s="9" t="s">
        <v>78</v>
      </c>
      <c r="B64" s="52">
        <v>3</v>
      </c>
      <c r="C64" s="52">
        <v>-0.34058541600000003</v>
      </c>
      <c r="D64" s="52">
        <v>-0.14122869400000002</v>
      </c>
      <c r="E64" s="52">
        <v>1.7910147300000001</v>
      </c>
      <c r="F64" s="52">
        <v>-0.41219345800000001</v>
      </c>
      <c r="G64" s="52">
        <v>-0.64641788600000005</v>
      </c>
      <c r="H64" s="52">
        <v>0.19253653500000001</v>
      </c>
      <c r="I64" s="52">
        <v>0.13443945200000001</v>
      </c>
      <c r="J64" s="52">
        <v>1.40874912</v>
      </c>
      <c r="K64" s="52">
        <v>0.85537794500000008</v>
      </c>
    </row>
    <row r="65" spans="1:11" ht="26.4">
      <c r="A65" s="9" t="s">
        <v>79</v>
      </c>
      <c r="B65" s="52">
        <v>3</v>
      </c>
      <c r="C65" s="52">
        <v>-0.55688160500000006</v>
      </c>
      <c r="D65" s="52">
        <v>0.15431666200000002</v>
      </c>
      <c r="E65" s="52">
        <v>0.69286633900000005</v>
      </c>
      <c r="F65" s="52">
        <v>-0.42864271300000001</v>
      </c>
      <c r="G65" s="52">
        <v>-0.93153178000000003</v>
      </c>
      <c r="H65" s="52">
        <v>-1.0017480599999999</v>
      </c>
      <c r="I65" s="52">
        <v>0.35960897600000002</v>
      </c>
      <c r="J65" s="52">
        <v>0.35191698999999999</v>
      </c>
      <c r="K65" s="52">
        <v>0.112791949</v>
      </c>
    </row>
    <row r="66" spans="1:11" ht="52.8">
      <c r="A66" s="12" t="s">
        <v>80</v>
      </c>
      <c r="B66" s="52">
        <v>3</v>
      </c>
      <c r="C66" s="52">
        <v>0.60518026899999999</v>
      </c>
      <c r="D66" s="52">
        <v>-0.67795021300000002</v>
      </c>
      <c r="E66" s="52">
        <v>7.0173680299999994E-3</v>
      </c>
      <c r="F66" s="52">
        <v>-0.71062994800000001</v>
      </c>
      <c r="G66" s="52">
        <v>-1.1351845599999999</v>
      </c>
      <c r="H66" s="52">
        <v>-0.89013267700000009</v>
      </c>
      <c r="I66" s="52">
        <v>-0.54106912299999999</v>
      </c>
      <c r="J66" s="52">
        <v>-0.30668853900000004</v>
      </c>
      <c r="K66" s="52">
        <v>0.271917519</v>
      </c>
    </row>
    <row r="67" spans="1:11" ht="26.4">
      <c r="A67" s="9" t="s">
        <v>83</v>
      </c>
      <c r="B67" s="52">
        <v>3</v>
      </c>
      <c r="C67" s="52">
        <v>0.44401840300000001</v>
      </c>
      <c r="D67" s="52">
        <v>0.59902877799999998</v>
      </c>
      <c r="E67" s="52">
        <v>0.615837945</v>
      </c>
      <c r="F67" s="52">
        <v>-0.149005372</v>
      </c>
      <c r="G67" s="52">
        <v>-3.5459543000000003E-2</v>
      </c>
      <c r="H67" s="52">
        <v>9.7663459899999999E-2</v>
      </c>
      <c r="I67" s="52">
        <v>-0.48477674200000004</v>
      </c>
      <c r="J67" s="52">
        <v>0.36723339700000002</v>
      </c>
      <c r="K67" s="52">
        <v>0.52386633999999999</v>
      </c>
    </row>
    <row r="68" spans="1:11">
      <c r="A68" s="9" t="s">
        <v>85</v>
      </c>
      <c r="B68" s="52">
        <v>3</v>
      </c>
      <c r="C68" s="52">
        <v>-1.3287621199999999</v>
      </c>
      <c r="D68" s="52">
        <v>2.3617386899999998E-3</v>
      </c>
      <c r="E68" s="52">
        <v>-0.91880467700000001</v>
      </c>
      <c r="F68" s="52">
        <v>-0.68948090500000003</v>
      </c>
      <c r="G68" s="52">
        <v>-0.52422621800000002</v>
      </c>
      <c r="H68" s="52">
        <v>1.4286768999999999</v>
      </c>
      <c r="I68" s="52">
        <v>-0.147022454</v>
      </c>
      <c r="J68" s="52">
        <v>-0.41390339200000004</v>
      </c>
      <c r="K68" s="52">
        <v>-0.25850105000000001</v>
      </c>
    </row>
    <row r="69" spans="1:11">
      <c r="A69" s="9" t="s">
        <v>87</v>
      </c>
      <c r="B69" s="52">
        <v>3</v>
      </c>
      <c r="C69" s="52">
        <v>-0.89616974300000007</v>
      </c>
      <c r="D69" s="52">
        <v>0.56557081300000001</v>
      </c>
      <c r="E69" s="52">
        <v>1.1970073000000001</v>
      </c>
      <c r="F69" s="52">
        <v>-0.28529920200000003</v>
      </c>
      <c r="G69" s="52">
        <v>-0.68714844200000003</v>
      </c>
      <c r="H69" s="52">
        <v>0.11719615200000001</v>
      </c>
      <c r="I69" s="52">
        <v>-0.37219197900000001</v>
      </c>
      <c r="J69" s="52">
        <v>0.55103028900000006</v>
      </c>
      <c r="K69" s="52">
        <v>-4.6333622000000005E-2</v>
      </c>
    </row>
    <row r="70" spans="1:11" ht="26.4">
      <c r="A70" s="9" t="s">
        <v>88</v>
      </c>
      <c r="B70" s="52">
        <v>3</v>
      </c>
      <c r="C70" s="52">
        <v>0.21499891000000002</v>
      </c>
      <c r="D70" s="52">
        <v>0.30905974899999999</v>
      </c>
      <c r="E70" s="52">
        <v>0.193169321</v>
      </c>
      <c r="F70" s="52">
        <v>-0.71062994800000001</v>
      </c>
      <c r="G70" s="52">
        <v>0.12746268200000002</v>
      </c>
      <c r="H70" s="52">
        <v>0.29019999500000004</v>
      </c>
      <c r="I70" s="52">
        <v>-9.0730073300000005E-2</v>
      </c>
      <c r="J70" s="52">
        <v>7.6221652100000009E-2</v>
      </c>
      <c r="K70" s="52">
        <v>0.21887566200000003</v>
      </c>
    </row>
    <row r="71" spans="1:11" ht="26.4">
      <c r="A71" s="9" t="s">
        <v>89</v>
      </c>
      <c r="B71" s="52">
        <v>3</v>
      </c>
      <c r="C71" s="52">
        <v>-0.57808711300000004</v>
      </c>
      <c r="D71" s="52">
        <v>8.3218487000000008E-2</v>
      </c>
      <c r="E71" s="52">
        <v>0.66867152299999999</v>
      </c>
      <c r="F71" s="52">
        <v>-0.661282182</v>
      </c>
      <c r="G71" s="52">
        <v>0.331115463</v>
      </c>
      <c r="H71" s="52">
        <v>-6.4178845100000007E-2</v>
      </c>
      <c r="I71" s="52">
        <v>-0.42848436100000004</v>
      </c>
      <c r="J71" s="52">
        <v>0.58166310399999999</v>
      </c>
      <c r="K71" s="52">
        <v>8.6271020200000006E-2</v>
      </c>
    </row>
    <row r="72" spans="1:11" ht="26.4">
      <c r="A72" s="9" t="s">
        <v>90</v>
      </c>
      <c r="B72" s="52">
        <v>3</v>
      </c>
      <c r="C72" s="52">
        <v>-0.66715024900000008</v>
      </c>
      <c r="D72" s="52">
        <v>-4.3642962899999999E-2</v>
      </c>
      <c r="E72" s="52">
        <v>-0.33961040600000003</v>
      </c>
      <c r="F72" s="52">
        <v>-0.301748458</v>
      </c>
      <c r="G72" s="52">
        <v>-0.11692065500000001</v>
      </c>
      <c r="H72" s="52">
        <v>-0.29578076400000003</v>
      </c>
      <c r="I72" s="52">
        <v>-0.59736150399999999</v>
      </c>
      <c r="J72" s="52">
        <v>6.0905244500000004E-2</v>
      </c>
      <c r="K72" s="52">
        <v>8.6271020200000006E-2</v>
      </c>
    </row>
    <row r="73" spans="1:11" ht="26.4">
      <c r="A73" s="9" t="s">
        <v>91</v>
      </c>
      <c r="B73" s="52">
        <v>3</v>
      </c>
      <c r="C73" s="52">
        <v>-0.56960491000000002</v>
      </c>
      <c r="D73" s="52">
        <v>-0.26530197999999999</v>
      </c>
      <c r="E73" s="52">
        <v>7.5111397899999995E-3</v>
      </c>
      <c r="F73" s="52">
        <v>-0.47094079800000005</v>
      </c>
      <c r="G73" s="52">
        <v>-0.52422621800000002</v>
      </c>
      <c r="H73" s="52">
        <v>-0.11719615200000001</v>
      </c>
      <c r="I73" s="52">
        <v>0.13443945200000001</v>
      </c>
      <c r="J73" s="52">
        <v>-6.16260166E-2</v>
      </c>
      <c r="K73" s="52">
        <v>0.47082448300000002</v>
      </c>
    </row>
    <row r="74" spans="1:11">
      <c r="A74" s="9" t="s">
        <v>92</v>
      </c>
      <c r="B74" s="52">
        <v>3</v>
      </c>
      <c r="C74" s="52">
        <v>-0.10308372</v>
      </c>
      <c r="D74" s="52">
        <v>-0.38798118400000003</v>
      </c>
      <c r="E74" s="52">
        <v>-0.23344947800000002</v>
      </c>
      <c r="F74" s="52">
        <v>-0.50148941499999999</v>
      </c>
      <c r="G74" s="52">
        <v>1.06426547</v>
      </c>
      <c r="H74" s="52">
        <v>1.16079998</v>
      </c>
      <c r="I74" s="52">
        <v>-0.20331483600000003</v>
      </c>
      <c r="J74" s="52">
        <v>2.0367218299999998</v>
      </c>
      <c r="K74" s="52">
        <v>-5.9594086300000002E-2</v>
      </c>
    </row>
    <row r="75" spans="1:11" ht="26.4">
      <c r="A75" s="9" t="s">
        <v>94</v>
      </c>
      <c r="B75" s="52">
        <v>3</v>
      </c>
      <c r="C75" s="52">
        <v>2.8390433900000001E-2</v>
      </c>
      <c r="D75" s="52">
        <v>-0.31827709100000001</v>
      </c>
      <c r="E75" s="52">
        <v>-0.69710115800000005</v>
      </c>
      <c r="F75" s="52">
        <v>-0.67538154300000008</v>
      </c>
      <c r="G75" s="52">
        <v>0.9828043620000001</v>
      </c>
      <c r="H75" s="52">
        <v>0.19253653500000001</v>
      </c>
      <c r="I75" s="52">
        <v>0.92253278900000002</v>
      </c>
      <c r="J75" s="52">
        <v>2.2205187199999998</v>
      </c>
      <c r="K75" s="52">
        <v>0.66973144600000001</v>
      </c>
    </row>
    <row r="76" spans="1:11" ht="26.4">
      <c r="A76" s="9" t="s">
        <v>96</v>
      </c>
      <c r="B76" s="52">
        <v>3</v>
      </c>
      <c r="C76" s="52">
        <v>-0.80286550500000009</v>
      </c>
      <c r="D76" s="52">
        <v>0.19892728200000001</v>
      </c>
      <c r="E76" s="52">
        <v>-0.420588974</v>
      </c>
      <c r="F76" s="52">
        <v>-0.65658239400000007</v>
      </c>
      <c r="G76" s="52">
        <v>-0.68714844200000003</v>
      </c>
      <c r="H76" s="52">
        <v>-3.34846148E-2</v>
      </c>
      <c r="I76" s="52">
        <v>-0.99140817300000006</v>
      </c>
      <c r="J76" s="52">
        <v>-0.49048543</v>
      </c>
      <c r="K76" s="52">
        <v>0.51060587499999999</v>
      </c>
    </row>
    <row r="77" spans="1:11">
      <c r="A77" s="9" t="s">
        <v>98</v>
      </c>
      <c r="B77" s="52">
        <v>3</v>
      </c>
      <c r="C77" s="52">
        <v>-0.74349008100000002</v>
      </c>
      <c r="D77" s="52">
        <v>-0.44792670400000001</v>
      </c>
      <c r="E77" s="52">
        <v>6.6269978899999998E-2</v>
      </c>
      <c r="F77" s="52">
        <v>-0.51793867100000002</v>
      </c>
      <c r="G77" s="52">
        <v>-0.48349566100000002</v>
      </c>
      <c r="H77" s="52">
        <v>0.91803652300000005</v>
      </c>
      <c r="I77" s="52">
        <v>-0.59736150399999999</v>
      </c>
      <c r="J77" s="52">
        <v>-0.505801838</v>
      </c>
      <c r="K77" s="52">
        <v>0.98798258700000008</v>
      </c>
    </row>
    <row r="78" spans="1:11">
      <c r="A78" s="9" t="s">
        <v>99</v>
      </c>
      <c r="B78" s="52">
        <v>3</v>
      </c>
      <c r="C78" s="52">
        <v>-0.382996434</v>
      </c>
      <c r="D78" s="52">
        <v>0.53490101200000006</v>
      </c>
      <c r="E78" s="52">
        <v>-0.80968111900000006</v>
      </c>
      <c r="F78" s="52">
        <v>-0.70828005400000005</v>
      </c>
      <c r="G78" s="52">
        <v>-0.89080122300000009</v>
      </c>
      <c r="H78" s="52">
        <v>3.9065384000000002E-2</v>
      </c>
      <c r="I78" s="52">
        <v>-0.99140817300000006</v>
      </c>
      <c r="J78" s="52">
        <v>-0.10757524</v>
      </c>
      <c r="K78" s="52">
        <v>0.112791949</v>
      </c>
    </row>
    <row r="79" spans="1:11">
      <c r="A79" s="9" t="s">
        <v>100</v>
      </c>
      <c r="B79" s="52">
        <v>3</v>
      </c>
      <c r="C79" s="52">
        <v>-0.66715024900000008</v>
      </c>
      <c r="D79" s="52">
        <v>0.18219829999999998</v>
      </c>
      <c r="E79" s="52">
        <v>0.208476245</v>
      </c>
      <c r="F79" s="52">
        <v>-0.651882607</v>
      </c>
      <c r="G79" s="52">
        <v>-0.36130399300000005</v>
      </c>
      <c r="H79" s="52">
        <v>1.42588651</v>
      </c>
      <c r="I79" s="52">
        <v>-1.1602853200000001</v>
      </c>
      <c r="J79" s="52">
        <v>-0.23010650100000002</v>
      </c>
      <c r="K79" s="52">
        <v>0.56364773200000007</v>
      </c>
    </row>
    <row r="80" spans="1:11">
      <c r="A80" s="24" t="s">
        <v>114</v>
      </c>
      <c r="B80" s="54"/>
      <c r="C80" s="54">
        <f>AVERAGE(C31:C79)</f>
        <v>-0.1775193827934694</v>
      </c>
      <c r="D80" s="54">
        <f t="shared" ref="D80:K80" si="4">AVERAGE(D31:D79)</f>
        <v>-8.1254722794285694E-2</v>
      </c>
      <c r="E80" s="54">
        <f t="shared" si="4"/>
        <v>-5.9440279664897934E-2</v>
      </c>
      <c r="F80" s="54">
        <f t="shared" si="4"/>
        <v>-0.19379722201040814</v>
      </c>
      <c r="G80" s="54">
        <f t="shared" si="4"/>
        <v>-7.3696391598775501E-2</v>
      </c>
      <c r="H80" s="54">
        <f t="shared" si="4"/>
        <v>0.17738873321918369</v>
      </c>
      <c r="I80" s="54">
        <f t="shared" si="4"/>
        <v>0.16316005417959187</v>
      </c>
      <c r="J80" s="54">
        <f t="shared" si="4"/>
        <v>0.22719767048036735</v>
      </c>
      <c r="K80" s="54">
        <f t="shared" si="4"/>
        <v>0.13552417258775509</v>
      </c>
    </row>
    <row r="81" spans="1:52">
      <c r="A81" s="9"/>
      <c r="B81" s="52"/>
      <c r="C81" s="56">
        <v>2.2694839999999998</v>
      </c>
      <c r="D81" s="56">
        <v>1.5306299999999999</v>
      </c>
      <c r="E81" s="56">
        <v>1.8404290000000001</v>
      </c>
      <c r="F81" s="56">
        <v>2.0926279999999999</v>
      </c>
      <c r="G81" s="56">
        <v>2.7801930000000001</v>
      </c>
      <c r="H81" s="56">
        <v>1.841961</v>
      </c>
      <c r="I81" s="56">
        <v>2.2102620000000002</v>
      </c>
      <c r="J81" s="56">
        <v>2.1843560000000002</v>
      </c>
      <c r="K81" s="56">
        <v>1.274837</v>
      </c>
      <c r="L81" s="56">
        <v>1.7694859999999999</v>
      </c>
      <c r="M81" s="56">
        <v>1.341029</v>
      </c>
      <c r="N81" s="56">
        <v>2.0887120000000001</v>
      </c>
      <c r="O81" s="56">
        <v>1.614989</v>
      </c>
      <c r="P81" s="56">
        <v>1.7851600000000001</v>
      </c>
      <c r="Q81" s="56">
        <v>3.325996</v>
      </c>
      <c r="R81" s="56">
        <v>3.777571</v>
      </c>
      <c r="S81" s="56">
        <v>1.5018830000000001</v>
      </c>
      <c r="T81" s="56">
        <v>1.974639</v>
      </c>
      <c r="U81" s="56">
        <v>1.8331809999999999</v>
      </c>
      <c r="V81" s="56">
        <v>2.829243</v>
      </c>
      <c r="W81" s="56">
        <v>2.102074</v>
      </c>
      <c r="X81" s="56">
        <v>1.7849839999999999</v>
      </c>
      <c r="Y81" s="56">
        <v>2.7695509999999999</v>
      </c>
      <c r="Z81" s="56">
        <v>1.986885</v>
      </c>
      <c r="AA81" s="56">
        <v>1.866034</v>
      </c>
      <c r="AB81" s="56">
        <v>1.4426589999999999</v>
      </c>
      <c r="AC81" s="56">
        <v>1.7244679999999999</v>
      </c>
      <c r="AD81" s="56">
        <v>1.7222360000000001</v>
      </c>
      <c r="AE81" s="56">
        <v>1.8056410000000001</v>
      </c>
      <c r="AF81" s="56">
        <v>1.1463159999999999</v>
      </c>
      <c r="AG81" s="56">
        <v>1.152682</v>
      </c>
      <c r="AH81" s="56">
        <v>1.0391950000000001</v>
      </c>
      <c r="AI81" s="56">
        <v>1.6542190000000001</v>
      </c>
      <c r="AJ81" s="56">
        <v>2.3969529999999999</v>
      </c>
      <c r="AK81" s="56">
        <v>1.7324649999999999</v>
      </c>
      <c r="AL81" s="56">
        <v>2.0751219999999999</v>
      </c>
      <c r="AM81" s="56">
        <v>1.3802760000000001</v>
      </c>
      <c r="AN81" s="56">
        <v>2.178931</v>
      </c>
      <c r="AO81" s="56">
        <v>1.8238319999999999</v>
      </c>
      <c r="AP81" s="56">
        <v>0.88585349999999996</v>
      </c>
      <c r="AQ81" s="56">
        <v>1.279272</v>
      </c>
      <c r="AR81" s="56">
        <v>1.0795980000000001</v>
      </c>
      <c r="AS81" s="56">
        <v>0.86909329999999996</v>
      </c>
      <c r="AT81" s="56">
        <v>2.435854</v>
      </c>
      <c r="AU81" s="56">
        <v>2.5862889999999998</v>
      </c>
      <c r="AV81" s="56">
        <v>1.7954749999999999</v>
      </c>
      <c r="AW81" s="56">
        <v>1.7704530000000001</v>
      </c>
      <c r="AX81" s="56">
        <v>1.8389759999999999</v>
      </c>
      <c r="AY81" s="56">
        <v>2.0919270000000001</v>
      </c>
      <c r="AZ81" s="56">
        <v>1E-35</v>
      </c>
    </row>
    <row r="82" spans="1:52">
      <c r="A82" s="9"/>
      <c r="B82" s="52"/>
      <c r="C82" s="52">
        <f>C81*C81</f>
        <v>5.1505576262559991</v>
      </c>
      <c r="D82" s="52">
        <f t="shared" ref="D82:AZ82" si="5">D81*D81</f>
        <v>2.3428281968999998</v>
      </c>
      <c r="E82" s="52">
        <f t="shared" si="5"/>
        <v>3.3871789040410003</v>
      </c>
      <c r="F82" s="52">
        <f t="shared" si="5"/>
        <v>4.3790919463839995</v>
      </c>
      <c r="G82" s="52">
        <f t="shared" si="5"/>
        <v>7.7294731172490003</v>
      </c>
      <c r="H82" s="52">
        <f t="shared" si="5"/>
        <v>3.3928203255209999</v>
      </c>
      <c r="I82" s="52">
        <f t="shared" si="5"/>
        <v>4.8852581086440008</v>
      </c>
      <c r="J82" s="52">
        <f t="shared" si="5"/>
        <v>4.7714111347360006</v>
      </c>
      <c r="K82" s="52">
        <f t="shared" si="5"/>
        <v>1.6252093765689999</v>
      </c>
      <c r="L82" s="52">
        <f t="shared" si="5"/>
        <v>3.1310807041959996</v>
      </c>
      <c r="M82" s="52">
        <f t="shared" si="5"/>
        <v>1.798358778841</v>
      </c>
      <c r="N82" s="52">
        <f t="shared" si="5"/>
        <v>4.3627178189440006</v>
      </c>
      <c r="O82" s="52">
        <f t="shared" si="5"/>
        <v>2.6081894701210002</v>
      </c>
      <c r="P82" s="52">
        <f t="shared" si="5"/>
        <v>3.1867962256000002</v>
      </c>
      <c r="Q82" s="52">
        <f t="shared" si="5"/>
        <v>11.062249392016</v>
      </c>
      <c r="R82" s="52">
        <f t="shared" si="5"/>
        <v>14.270042660041</v>
      </c>
      <c r="S82" s="52">
        <f t="shared" si="5"/>
        <v>2.2556525456890002</v>
      </c>
      <c r="T82" s="52">
        <f t="shared" si="5"/>
        <v>3.8991991803210002</v>
      </c>
      <c r="U82" s="52">
        <f t="shared" si="5"/>
        <v>3.3605525787609998</v>
      </c>
      <c r="V82" s="52">
        <f t="shared" si="5"/>
        <v>8.0046159530489991</v>
      </c>
      <c r="W82" s="52">
        <f t="shared" si="5"/>
        <v>4.4187151014759998</v>
      </c>
      <c r="X82" s="52">
        <f t="shared" si="5"/>
        <v>3.1861678802559998</v>
      </c>
      <c r="Y82" s="52">
        <f t="shared" si="5"/>
        <v>7.6704127416009991</v>
      </c>
      <c r="Z82" s="52">
        <f t="shared" si="5"/>
        <v>3.9477120032249999</v>
      </c>
      <c r="AA82" s="52">
        <f t="shared" si="5"/>
        <v>3.4820828891560001</v>
      </c>
      <c r="AB82" s="52">
        <f t="shared" si="5"/>
        <v>2.0812649902809999</v>
      </c>
      <c r="AC82" s="52">
        <f t="shared" si="5"/>
        <v>2.9737898830239997</v>
      </c>
      <c r="AD82" s="52">
        <f t="shared" si="5"/>
        <v>2.9660968396960001</v>
      </c>
      <c r="AE82" s="52">
        <f t="shared" si="5"/>
        <v>3.2603394208810004</v>
      </c>
      <c r="AF82" s="52">
        <f t="shared" si="5"/>
        <v>1.3140403718559996</v>
      </c>
      <c r="AG82" s="52">
        <f t="shared" si="5"/>
        <v>1.3286757931239999</v>
      </c>
      <c r="AH82" s="52">
        <f t="shared" si="5"/>
        <v>1.0799262480250003</v>
      </c>
      <c r="AI82" s="52">
        <f t="shared" si="5"/>
        <v>2.7364404999610001</v>
      </c>
      <c r="AJ82" s="52">
        <f t="shared" si="5"/>
        <v>5.7453836842089991</v>
      </c>
      <c r="AK82" s="52">
        <f t="shared" si="5"/>
        <v>3.0014349762249997</v>
      </c>
      <c r="AL82" s="52">
        <f t="shared" si="5"/>
        <v>4.3061313148839995</v>
      </c>
      <c r="AM82" s="52">
        <f t="shared" si="5"/>
        <v>1.9051618361760001</v>
      </c>
      <c r="AN82" s="52">
        <f t="shared" si="5"/>
        <v>4.7477403027609997</v>
      </c>
      <c r="AO82" s="52">
        <f t="shared" si="5"/>
        <v>3.3263631642239995</v>
      </c>
      <c r="AP82" s="52">
        <f t="shared" si="5"/>
        <v>0.78473642346224992</v>
      </c>
      <c r="AQ82" s="52">
        <f t="shared" si="5"/>
        <v>1.6365368499839998</v>
      </c>
      <c r="AR82" s="52">
        <f t="shared" si="5"/>
        <v>1.1655318416040001</v>
      </c>
      <c r="AS82" s="52">
        <f t="shared" si="5"/>
        <v>0.75532316410488998</v>
      </c>
      <c r="AT82" s="52">
        <f t="shared" si="5"/>
        <v>5.9333847093159999</v>
      </c>
      <c r="AU82" s="52">
        <f t="shared" si="5"/>
        <v>6.6888907915209987</v>
      </c>
      <c r="AV82" s="52">
        <f t="shared" si="5"/>
        <v>3.2237304756249996</v>
      </c>
      <c r="AW82" s="52">
        <f t="shared" si="5"/>
        <v>3.1345038252090003</v>
      </c>
      <c r="AX82" s="52">
        <f t="shared" si="5"/>
        <v>3.3818327285759997</v>
      </c>
      <c r="AY82" s="52">
        <f t="shared" si="5"/>
        <v>4.3761585733290005</v>
      </c>
      <c r="AZ82" s="52">
        <f t="shared" si="5"/>
        <v>1E-70</v>
      </c>
    </row>
    <row r="83" spans="1:52">
      <c r="A83" s="25" t="s">
        <v>118</v>
      </c>
      <c r="B83" s="55">
        <f>SUM(C82:AZ82)</f>
        <v>190.16179336765114</v>
      </c>
      <c r="C83" s="52"/>
      <c r="D83" s="52"/>
      <c r="E83" s="52"/>
      <c r="F83" s="52"/>
      <c r="G83" s="52"/>
      <c r="H83" s="52"/>
      <c r="I83" s="52"/>
      <c r="J83" s="52"/>
      <c r="K83" s="52"/>
    </row>
    <row r="84" spans="1:52" ht="26.4">
      <c r="A84" s="9" t="s">
        <v>20</v>
      </c>
      <c r="B84" s="52">
        <v>4</v>
      </c>
      <c r="C84" s="52">
        <v>0.61790357400000007</v>
      </c>
      <c r="D84" s="52">
        <v>9.3321480299999992E-3</v>
      </c>
      <c r="E84" s="52">
        <v>-0.32232839400000002</v>
      </c>
      <c r="F84" s="52">
        <v>0.90139707600000007</v>
      </c>
      <c r="G84" s="52">
        <v>-0.27984288000000002</v>
      </c>
      <c r="H84" s="52">
        <v>-0.62225575900000007</v>
      </c>
      <c r="I84" s="52">
        <v>0.97882517000000002</v>
      </c>
      <c r="J84" s="52">
        <v>-0.84276280600000009</v>
      </c>
      <c r="K84" s="52">
        <v>0.25865705500000002</v>
      </c>
    </row>
    <row r="85" spans="1:52" ht="26.4">
      <c r="A85" s="9" t="s">
        <v>29</v>
      </c>
      <c r="B85" s="52">
        <v>4</v>
      </c>
      <c r="C85" s="52">
        <v>1.54670485</v>
      </c>
      <c r="D85" s="52">
        <v>-0.85639269200000001</v>
      </c>
      <c r="E85" s="52">
        <v>-0.74845342100000001</v>
      </c>
      <c r="F85" s="52">
        <v>1.2867796300000001</v>
      </c>
      <c r="G85" s="52">
        <v>0.57549879999999998</v>
      </c>
      <c r="H85" s="52">
        <v>-1.5486634399999999</v>
      </c>
      <c r="I85" s="52">
        <v>0.30331659500000002</v>
      </c>
      <c r="J85" s="52">
        <v>-1.5320011500000001</v>
      </c>
      <c r="K85" s="52">
        <v>1.38579651</v>
      </c>
    </row>
    <row r="86" spans="1:52" ht="26.4">
      <c r="A86" s="9" t="s">
        <v>33</v>
      </c>
      <c r="B86" s="52">
        <v>4</v>
      </c>
      <c r="C86" s="52">
        <v>6.2319247700000004E-2</v>
      </c>
      <c r="D86" s="52">
        <v>0.16965156300000001</v>
      </c>
      <c r="E86" s="52">
        <v>-0.76771051900000009</v>
      </c>
      <c r="F86" s="52">
        <v>-4.0910265600000002E-2</v>
      </c>
      <c r="G86" s="52">
        <v>-0.52422621800000002</v>
      </c>
      <c r="H86" s="52">
        <v>0.281828841</v>
      </c>
      <c r="I86" s="52">
        <v>1.65433374</v>
      </c>
      <c r="J86" s="52">
        <v>-0.138208055</v>
      </c>
      <c r="K86" s="52">
        <v>2.6322801500000002</v>
      </c>
    </row>
    <row r="87" spans="1:52">
      <c r="A87" s="9" t="s">
        <v>37</v>
      </c>
      <c r="B87" s="52">
        <v>4</v>
      </c>
      <c r="C87" s="52">
        <v>2.0853247700000002</v>
      </c>
      <c r="D87" s="52">
        <v>3.1014057300000002</v>
      </c>
      <c r="E87" s="52">
        <v>-0.81560637999999996</v>
      </c>
      <c r="F87" s="52">
        <v>5.2745490999999998</v>
      </c>
      <c r="G87" s="52">
        <v>-1.0537234499999999</v>
      </c>
      <c r="H87" s="52">
        <v>-0.91803652300000005</v>
      </c>
      <c r="I87" s="52">
        <v>0.30331659500000002</v>
      </c>
      <c r="J87" s="52">
        <v>-0.44453620800000004</v>
      </c>
      <c r="K87" s="52">
        <v>-0.56349172700000005</v>
      </c>
    </row>
    <row r="88" spans="1:52" ht="26.4">
      <c r="A88" s="9" t="s">
        <v>44</v>
      </c>
      <c r="B88" s="52">
        <v>4</v>
      </c>
      <c r="C88" s="52">
        <v>2.0895658699999999</v>
      </c>
      <c r="D88" s="52">
        <v>-0.90797372100000007</v>
      </c>
      <c r="E88" s="52">
        <v>-0.75141605100000008</v>
      </c>
      <c r="F88" s="52">
        <v>-0.21480239400000001</v>
      </c>
      <c r="G88" s="52">
        <v>-0.56495677399999999</v>
      </c>
      <c r="H88" s="52">
        <v>-0.43250960800000005</v>
      </c>
      <c r="I88" s="52">
        <v>0.415901358</v>
      </c>
      <c r="J88" s="52">
        <v>-1.225673</v>
      </c>
      <c r="K88" s="52">
        <v>-1.18673355</v>
      </c>
    </row>
    <row r="89" spans="1:52" ht="26.4">
      <c r="A89" s="9" t="s">
        <v>48</v>
      </c>
      <c r="B89" s="52">
        <v>4</v>
      </c>
      <c r="C89" s="52">
        <v>-0.42964855300000004</v>
      </c>
      <c r="D89" s="52">
        <v>1.1873313299999999</v>
      </c>
      <c r="E89" s="52">
        <v>0.86766154100000004</v>
      </c>
      <c r="F89" s="52">
        <v>5.2651495300000004</v>
      </c>
      <c r="G89" s="52">
        <v>0.331115463</v>
      </c>
      <c r="H89" s="52">
        <v>-0.82037306300000001</v>
      </c>
      <c r="I89" s="52">
        <v>0.19073183300000002</v>
      </c>
      <c r="J89" s="52">
        <v>-0.79681358300000005</v>
      </c>
      <c r="K89" s="52">
        <v>0.92168026600000008</v>
      </c>
    </row>
    <row r="90" spans="1:52">
      <c r="A90" s="9" t="s">
        <v>51</v>
      </c>
      <c r="B90" s="52">
        <v>4</v>
      </c>
      <c r="C90" s="52">
        <v>-0.18366465200000001</v>
      </c>
      <c r="D90" s="52">
        <v>-1.44190708</v>
      </c>
      <c r="E90" s="52">
        <v>-1.1503836299999999</v>
      </c>
      <c r="F90" s="52">
        <v>0.47606633100000001</v>
      </c>
      <c r="G90" s="52">
        <v>0.57549879999999998</v>
      </c>
      <c r="H90" s="52">
        <v>-0.90129421600000004</v>
      </c>
      <c r="I90" s="52">
        <v>0.86624040700000005</v>
      </c>
      <c r="J90" s="52">
        <v>1.68444445</v>
      </c>
      <c r="K90" s="52">
        <v>0.56364773200000007</v>
      </c>
    </row>
    <row r="91" spans="1:52" ht="26.4">
      <c r="A91" s="9" t="s">
        <v>52</v>
      </c>
      <c r="B91" s="52">
        <v>4</v>
      </c>
      <c r="C91" s="52">
        <v>0.42281289500000002</v>
      </c>
      <c r="D91" s="52">
        <v>-0.85499860999999999</v>
      </c>
      <c r="E91" s="52">
        <v>-0.72919632200000006</v>
      </c>
      <c r="F91" s="52">
        <v>0.41026931</v>
      </c>
      <c r="G91" s="52">
        <v>-0.15765121200000001</v>
      </c>
      <c r="H91" s="52">
        <v>0.13393845900000001</v>
      </c>
      <c r="I91" s="52">
        <v>0.69736326400000004</v>
      </c>
      <c r="J91" s="52">
        <v>-1.36352067</v>
      </c>
      <c r="K91" s="52">
        <v>0.36474076900000002</v>
      </c>
    </row>
    <row r="92" spans="1:52">
      <c r="A92" s="9" t="s">
        <v>56</v>
      </c>
      <c r="B92" s="52">
        <v>4</v>
      </c>
      <c r="C92" s="52">
        <v>1.02504934</v>
      </c>
      <c r="D92" s="52">
        <v>-1.49906443</v>
      </c>
      <c r="E92" s="52">
        <v>-1.5928031300000001</v>
      </c>
      <c r="F92" s="52">
        <v>2.0904432499999999</v>
      </c>
      <c r="G92" s="52">
        <v>0.94207380600000001</v>
      </c>
      <c r="H92" s="52">
        <v>-0.627836528</v>
      </c>
      <c r="I92" s="52">
        <v>1.31657946</v>
      </c>
      <c r="J92" s="52">
        <v>1.8222921200000002</v>
      </c>
      <c r="K92" s="52">
        <v>0.56364773200000007</v>
      </c>
    </row>
    <row r="93" spans="1:52" ht="26.4">
      <c r="A93" s="9" t="s">
        <v>57</v>
      </c>
      <c r="B93" s="52">
        <v>4</v>
      </c>
      <c r="C93" s="52">
        <v>0.63486798100000008</v>
      </c>
      <c r="D93" s="52">
        <v>-2.8722350699999999</v>
      </c>
      <c r="E93" s="52">
        <v>-0.23986851100000001</v>
      </c>
      <c r="F93" s="52">
        <v>0.34212239500000002</v>
      </c>
      <c r="G93" s="52">
        <v>-0.44276510500000005</v>
      </c>
      <c r="H93" s="52">
        <v>-1.3896115199999999</v>
      </c>
      <c r="I93" s="52">
        <v>2.10467279</v>
      </c>
      <c r="J93" s="52">
        <v>0.16812009800000002</v>
      </c>
      <c r="K93" s="52">
        <v>0.32495937600000002</v>
      </c>
    </row>
    <row r="94" spans="1:52" ht="26.4">
      <c r="A94" s="9" t="s">
        <v>58</v>
      </c>
      <c r="B94" s="52">
        <v>4</v>
      </c>
      <c r="C94" s="52">
        <v>4.1295358000000002</v>
      </c>
      <c r="D94" s="52">
        <v>-2.0748202400000002</v>
      </c>
      <c r="E94" s="52">
        <v>-1.6377363599999999</v>
      </c>
      <c r="F94" s="52">
        <v>1.73090952</v>
      </c>
      <c r="G94" s="52">
        <v>-0.15765121200000001</v>
      </c>
      <c r="H94" s="52">
        <v>-1.74119997</v>
      </c>
      <c r="I94" s="52">
        <v>-0.315899598</v>
      </c>
      <c r="J94" s="52">
        <v>0.81140921900000007</v>
      </c>
      <c r="K94" s="52">
        <v>5.9750091700000001E-2</v>
      </c>
    </row>
    <row r="95" spans="1:52" ht="39.6">
      <c r="A95" s="9" t="s">
        <v>59</v>
      </c>
      <c r="B95" s="52">
        <v>4</v>
      </c>
      <c r="C95" s="52">
        <v>0.91053959300000009</v>
      </c>
      <c r="D95" s="52">
        <v>-1.4182076800000001</v>
      </c>
      <c r="E95" s="52">
        <v>-1.5641643599999999</v>
      </c>
      <c r="F95" s="52">
        <v>0.89199750200000005</v>
      </c>
      <c r="G95" s="52">
        <v>1.8788765999999999</v>
      </c>
      <c r="H95" s="52">
        <v>-0.75340383399999999</v>
      </c>
      <c r="I95" s="52">
        <v>1.0351175500000001</v>
      </c>
      <c r="J95" s="52">
        <v>-0.56706746900000005</v>
      </c>
      <c r="K95" s="52">
        <v>-0.19219872800000001</v>
      </c>
    </row>
    <row r="96" spans="1:52" ht="39.6">
      <c r="A96" s="9" t="s">
        <v>60</v>
      </c>
      <c r="B96" s="52">
        <v>4</v>
      </c>
      <c r="C96" s="52">
        <v>1.31344426</v>
      </c>
      <c r="D96" s="52">
        <v>-0.94700801300000004</v>
      </c>
      <c r="E96" s="52">
        <v>0.41882301400000005</v>
      </c>
      <c r="F96" s="52">
        <v>0.11183282</v>
      </c>
      <c r="G96" s="52">
        <v>-1.6646817899999999</v>
      </c>
      <c r="H96" s="52">
        <v>-0.73387114200000003</v>
      </c>
      <c r="I96" s="52">
        <v>0.64107088300000004</v>
      </c>
      <c r="J96" s="52">
        <v>-1.54731756</v>
      </c>
      <c r="K96" s="52">
        <v>3.3229163300000003E-2</v>
      </c>
    </row>
    <row r="97" spans="1:18" ht="26.4">
      <c r="A97" s="9" t="s">
        <v>62</v>
      </c>
      <c r="B97" s="52">
        <v>4</v>
      </c>
      <c r="C97" s="52">
        <v>2.1955934199999998</v>
      </c>
      <c r="D97" s="52">
        <v>-1.56179812</v>
      </c>
      <c r="E97" s="52">
        <v>-2.0480606899999998</v>
      </c>
      <c r="F97" s="52">
        <v>0.79800175700000009</v>
      </c>
      <c r="G97" s="52">
        <v>-0.15765121200000001</v>
      </c>
      <c r="H97" s="52">
        <v>-2.5169268799999998</v>
      </c>
      <c r="I97" s="52">
        <v>-0.37219197900000001</v>
      </c>
      <c r="J97" s="52">
        <v>0.45913184300000004</v>
      </c>
      <c r="K97" s="52">
        <v>-1.2132544700000001</v>
      </c>
    </row>
    <row r="98" spans="1:18" ht="26.4">
      <c r="A98" s="9" t="s">
        <v>67</v>
      </c>
      <c r="B98" s="52">
        <v>4</v>
      </c>
      <c r="C98" s="52">
        <v>1.5000527300000002</v>
      </c>
      <c r="D98" s="52">
        <v>-1.02925884</v>
      </c>
      <c r="E98" s="52">
        <v>-0.134695126</v>
      </c>
      <c r="F98" s="52">
        <v>0.39851984100000004</v>
      </c>
      <c r="G98" s="52">
        <v>-1.78687346</v>
      </c>
      <c r="H98" s="52">
        <v>-0.52738268300000002</v>
      </c>
      <c r="I98" s="52">
        <v>0.97882517000000002</v>
      </c>
      <c r="J98" s="52">
        <v>0.305967767</v>
      </c>
      <c r="K98" s="52">
        <v>2.6853220100000001</v>
      </c>
    </row>
    <row r="99" spans="1:18">
      <c r="A99" s="24" t="s">
        <v>114</v>
      </c>
      <c r="B99" s="28"/>
      <c r="C99" s="28">
        <f>AVERAGE(C84:C98)</f>
        <v>1.19469340838</v>
      </c>
      <c r="D99" s="28">
        <f t="shared" ref="D99:K99" si="6">AVERAGE(D84:D98)</f>
        <v>-0.73306291499800003</v>
      </c>
      <c r="E99" s="28">
        <f t="shared" si="6"/>
        <v>-0.74772922259999997</v>
      </c>
      <c r="F99" s="28">
        <f t="shared" si="6"/>
        <v>1.3148216934933332</v>
      </c>
      <c r="G99" s="28">
        <f t="shared" si="6"/>
        <v>-0.16579732293333335</v>
      </c>
      <c r="H99" s="28">
        <f t="shared" si="6"/>
        <v>-0.87450652439999998</v>
      </c>
      <c r="I99" s="28">
        <f t="shared" si="6"/>
        <v>0.71988021586666673</v>
      </c>
      <c r="J99" s="28">
        <f t="shared" si="6"/>
        <v>-0.21376900026666662</v>
      </c>
      <c r="K99" s="28">
        <f t="shared" si="6"/>
        <v>0.44253549199999997</v>
      </c>
    </row>
    <row r="100" spans="1:18">
      <c r="C100" s="56">
        <v>1.344937</v>
      </c>
      <c r="D100" s="56">
        <v>1.9861819999999999</v>
      </c>
      <c r="E100" s="56">
        <v>3.3279200000000002</v>
      </c>
      <c r="F100" s="56">
        <v>5.7627769999999998</v>
      </c>
      <c r="G100" s="56">
        <v>2.7012429999999998</v>
      </c>
      <c r="H100" s="56">
        <v>5.0636299999999999</v>
      </c>
      <c r="I100" s="56">
        <v>2.730845</v>
      </c>
      <c r="J100" s="56">
        <v>1.9428700000000001</v>
      </c>
      <c r="K100" s="56">
        <v>2.7813240000000001</v>
      </c>
      <c r="L100" s="56">
        <v>2.9176850000000001</v>
      </c>
      <c r="M100" s="56">
        <v>3.7947899999999999</v>
      </c>
      <c r="N100" s="56">
        <v>2.493582</v>
      </c>
      <c r="O100" s="56">
        <v>2.6620349999999999</v>
      </c>
      <c r="P100" s="56">
        <v>3.2758560000000001</v>
      </c>
      <c r="Q100" s="56">
        <v>3.0841609999999999</v>
      </c>
      <c r="R100" s="56">
        <v>1E-35</v>
      </c>
    </row>
    <row r="101" spans="1:18">
      <c r="C101" s="45">
        <f>C100*C100</f>
        <v>1.8088555339690002</v>
      </c>
      <c r="D101" s="45">
        <f t="shared" ref="D101:R101" si="7">D100*D100</f>
        <v>3.9449189371239997</v>
      </c>
      <c r="E101" s="45">
        <f t="shared" si="7"/>
        <v>11.075051526400001</v>
      </c>
      <c r="F101" s="45">
        <f t="shared" si="7"/>
        <v>33.209598751728997</v>
      </c>
      <c r="G101" s="45">
        <f t="shared" si="7"/>
        <v>7.2967137450489989</v>
      </c>
      <c r="H101" s="45">
        <f t="shared" si="7"/>
        <v>25.640348776899998</v>
      </c>
      <c r="I101" s="45">
        <f t="shared" si="7"/>
        <v>7.4575144140249998</v>
      </c>
      <c r="J101" s="45">
        <f t="shared" si="7"/>
        <v>3.7747438369000004</v>
      </c>
      <c r="K101" s="45">
        <f t="shared" si="7"/>
        <v>7.7357631929760009</v>
      </c>
      <c r="L101" s="45">
        <f t="shared" si="7"/>
        <v>8.512885759225</v>
      </c>
      <c r="M101" s="45">
        <f t="shared" si="7"/>
        <v>14.400431144099999</v>
      </c>
      <c r="N101" s="45">
        <f t="shared" si="7"/>
        <v>6.2179511907239995</v>
      </c>
      <c r="O101" s="45">
        <f t="shared" si="7"/>
        <v>7.0864303412249994</v>
      </c>
      <c r="P101" s="45">
        <f t="shared" si="7"/>
        <v>10.731232532736001</v>
      </c>
      <c r="Q101" s="45">
        <f t="shared" si="7"/>
        <v>9.5120490739210002</v>
      </c>
      <c r="R101" s="45">
        <f t="shared" si="7"/>
        <v>1E-70</v>
      </c>
    </row>
    <row r="102" spans="1:18">
      <c r="A102" s="25" t="s">
        <v>121</v>
      </c>
      <c r="B102" s="55">
        <f>SUM(C101:R101)</f>
        <v>158.40448875700298</v>
      </c>
    </row>
    <row r="104" spans="1:18">
      <c r="A104" s="57" t="s">
        <v>115</v>
      </c>
      <c r="B104" s="57">
        <f>B102+B83+B30+B10</f>
        <v>538.83851452509816</v>
      </c>
    </row>
  </sheetData>
  <sortState xmlns:xlrd2="http://schemas.microsoft.com/office/spreadsheetml/2017/richdata2" ref="A2:K98">
    <sortCondition ref="B2:B9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6149-5D3A-446B-BFD8-5A931DAA7911}">
  <dimension ref="A1:F86"/>
  <sheetViews>
    <sheetView topLeftCell="A17" workbookViewId="0">
      <selection activeCell="A44" sqref="A44"/>
    </sheetView>
  </sheetViews>
  <sheetFormatPr defaultRowHeight="14.4"/>
  <cols>
    <col min="1" max="1" width="42.77734375" bestFit="1" customWidth="1"/>
    <col min="2" max="2" width="28.44140625" bestFit="1" customWidth="1"/>
    <col min="4" max="4" width="17.77734375" bestFit="1" customWidth="1"/>
  </cols>
  <sheetData>
    <row r="1" spans="1:6">
      <c r="A1" s="68" t="s">
        <v>139</v>
      </c>
      <c r="B1" s="68" t="s">
        <v>106</v>
      </c>
      <c r="C1" s="68" t="s">
        <v>140</v>
      </c>
      <c r="D1" s="68" t="s">
        <v>141</v>
      </c>
      <c r="E1" s="42" t="s">
        <v>121</v>
      </c>
      <c r="F1">
        <f>E23+E49+E80+E86</f>
        <v>59.222782337046979</v>
      </c>
    </row>
    <row r="2" spans="1:6">
      <c r="A2" s="69" t="s">
        <v>21</v>
      </c>
      <c r="B2">
        <v>1</v>
      </c>
      <c r="C2" s="70">
        <v>0.73958310000000005</v>
      </c>
      <c r="D2">
        <f>C2*C2</f>
        <v>0.54698316180561002</v>
      </c>
    </row>
    <row r="3" spans="1:6">
      <c r="A3" s="69" t="s">
        <v>25</v>
      </c>
      <c r="B3">
        <v>1</v>
      </c>
      <c r="C3" s="70">
        <v>0.49469360000000001</v>
      </c>
      <c r="D3">
        <f t="shared" ref="D3:D66" si="0">C3*C3</f>
        <v>0.24472175788096001</v>
      </c>
    </row>
    <row r="4" spans="1:6">
      <c r="A4" s="69" t="s">
        <v>30</v>
      </c>
      <c r="B4">
        <v>1</v>
      </c>
      <c r="C4" s="70">
        <v>0.69642059999999995</v>
      </c>
      <c r="D4">
        <f t="shared" si="0"/>
        <v>0.48500165210435991</v>
      </c>
    </row>
    <row r="5" spans="1:6">
      <c r="A5" s="69" t="s">
        <v>38</v>
      </c>
      <c r="B5">
        <v>1</v>
      </c>
      <c r="C5" s="70">
        <v>1.012832</v>
      </c>
      <c r="D5">
        <f t="shared" si="0"/>
        <v>1.0258286602239999</v>
      </c>
    </row>
    <row r="6" spans="1:6">
      <c r="A6" s="69" t="s">
        <v>40</v>
      </c>
      <c r="B6">
        <v>1</v>
      </c>
      <c r="C6" s="70">
        <v>1.291676</v>
      </c>
      <c r="D6">
        <f t="shared" si="0"/>
        <v>1.6684268889760001</v>
      </c>
    </row>
    <row r="7" spans="1:6">
      <c r="A7" s="69" t="s">
        <v>42</v>
      </c>
      <c r="B7">
        <v>1</v>
      </c>
      <c r="C7" s="70">
        <v>0.55316390000000004</v>
      </c>
      <c r="D7">
        <f t="shared" si="0"/>
        <v>0.30599030026321006</v>
      </c>
    </row>
    <row r="8" spans="1:6">
      <c r="A8" s="69" t="s">
        <v>44</v>
      </c>
      <c r="B8">
        <v>1</v>
      </c>
      <c r="C8" s="70">
        <v>0.97733460000000005</v>
      </c>
      <c r="D8">
        <f t="shared" si="0"/>
        <v>0.95518292035716013</v>
      </c>
    </row>
    <row r="9" spans="1:6">
      <c r="A9" s="69" t="s">
        <v>49</v>
      </c>
      <c r="B9">
        <v>1</v>
      </c>
      <c r="C9" s="70">
        <v>1.0899859999999999</v>
      </c>
      <c r="D9">
        <f t="shared" si="0"/>
        <v>1.1880694801959997</v>
      </c>
    </row>
    <row r="10" spans="1:6">
      <c r="A10" s="69" t="s">
        <v>60</v>
      </c>
      <c r="B10">
        <v>1</v>
      </c>
      <c r="C10" s="70">
        <v>0.78515880000000005</v>
      </c>
      <c r="D10">
        <f t="shared" si="0"/>
        <v>0.61647434121744005</v>
      </c>
    </row>
    <row r="11" spans="1:6">
      <c r="A11" s="69" t="s">
        <v>64</v>
      </c>
      <c r="B11">
        <v>1</v>
      </c>
      <c r="C11" s="70">
        <v>0.40834379999999998</v>
      </c>
      <c r="D11">
        <f t="shared" si="0"/>
        <v>0.16674465899843999</v>
      </c>
    </row>
    <row r="12" spans="1:6">
      <c r="A12" s="69" t="s">
        <v>68</v>
      </c>
      <c r="B12">
        <v>1</v>
      </c>
      <c r="C12" s="70">
        <v>0.68706750000000005</v>
      </c>
      <c r="D12">
        <f t="shared" si="0"/>
        <v>0.47206174955625008</v>
      </c>
    </row>
    <row r="13" spans="1:6">
      <c r="A13" s="69" t="s">
        <v>70</v>
      </c>
      <c r="B13">
        <v>1</v>
      </c>
      <c r="C13" s="70">
        <v>0.48207349999999999</v>
      </c>
      <c r="D13">
        <f t="shared" si="0"/>
        <v>0.23239485940224999</v>
      </c>
    </row>
    <row r="14" spans="1:6">
      <c r="A14" s="69" t="s">
        <v>73</v>
      </c>
      <c r="B14">
        <v>1</v>
      </c>
      <c r="C14" s="70">
        <v>0.43871500000000002</v>
      </c>
      <c r="D14">
        <f t="shared" si="0"/>
        <v>0.19247085122500002</v>
      </c>
    </row>
    <row r="15" spans="1:6">
      <c r="A15" s="69" t="s">
        <v>75</v>
      </c>
      <c r="B15">
        <v>1</v>
      </c>
      <c r="C15" s="70">
        <v>0.3883334</v>
      </c>
      <c r="D15">
        <f t="shared" si="0"/>
        <v>0.15080282955555999</v>
      </c>
    </row>
    <row r="16" spans="1:6">
      <c r="A16" s="69" t="s">
        <v>78</v>
      </c>
      <c r="B16">
        <v>1</v>
      </c>
      <c r="C16" s="70">
        <v>0.78510579999999996</v>
      </c>
      <c r="D16">
        <f t="shared" si="0"/>
        <v>0.61639111719363993</v>
      </c>
    </row>
    <row r="17" spans="1:5">
      <c r="A17" s="69" t="s">
        <v>142</v>
      </c>
      <c r="B17">
        <v>1</v>
      </c>
      <c r="C17" s="70">
        <v>0.52449380000000001</v>
      </c>
      <c r="D17">
        <f t="shared" si="0"/>
        <v>0.27509374623844002</v>
      </c>
    </row>
    <row r="18" spans="1:5">
      <c r="A18" s="69" t="s">
        <v>80</v>
      </c>
      <c r="B18">
        <v>1</v>
      </c>
      <c r="C18" s="70">
        <v>0.48147240000000002</v>
      </c>
      <c r="D18">
        <f t="shared" si="0"/>
        <v>0.23181567196176003</v>
      </c>
    </row>
    <row r="19" spans="1:5">
      <c r="A19" s="69" t="s">
        <v>81</v>
      </c>
      <c r="B19">
        <v>1</v>
      </c>
      <c r="C19" s="70">
        <v>0.95185719999999996</v>
      </c>
      <c r="D19">
        <f t="shared" si="0"/>
        <v>0.90603212919183995</v>
      </c>
    </row>
    <row r="20" spans="1:5">
      <c r="A20" s="69" t="s">
        <v>83</v>
      </c>
      <c r="B20">
        <v>1</v>
      </c>
      <c r="C20" s="70">
        <v>0.45722790000000002</v>
      </c>
      <c r="D20">
        <f t="shared" si="0"/>
        <v>0.20905735253841001</v>
      </c>
    </row>
    <row r="21" spans="1:5">
      <c r="A21" s="69" t="s">
        <v>86</v>
      </c>
      <c r="B21">
        <v>1</v>
      </c>
      <c r="C21" s="70">
        <v>0.59669139999999998</v>
      </c>
      <c r="D21">
        <f t="shared" si="0"/>
        <v>0.35604062683395998</v>
      </c>
    </row>
    <row r="22" spans="1:5">
      <c r="A22" s="69" t="s">
        <v>88</v>
      </c>
      <c r="B22">
        <v>1</v>
      </c>
      <c r="C22" s="70">
        <v>0.47519359999999999</v>
      </c>
      <c r="D22">
        <f t="shared" si="0"/>
        <v>0.22580895748096</v>
      </c>
    </row>
    <row r="23" spans="1:5">
      <c r="A23" s="71" t="s">
        <v>95</v>
      </c>
      <c r="B23" s="72">
        <v>1</v>
      </c>
      <c r="C23" s="73">
        <v>0.54799310000000001</v>
      </c>
      <c r="D23" s="72">
        <f t="shared" si="0"/>
        <v>0.30029643764760999</v>
      </c>
      <c r="E23" s="72">
        <f>SUM(D2:D23)</f>
        <v>11.371690150848861</v>
      </c>
    </row>
    <row r="24" spans="1:5">
      <c r="A24" s="69" t="s">
        <v>22</v>
      </c>
      <c r="B24">
        <v>2</v>
      </c>
      <c r="C24" s="70">
        <v>0.80635860000000004</v>
      </c>
      <c r="D24">
        <f t="shared" si="0"/>
        <v>0.65021419179396001</v>
      </c>
    </row>
    <row r="25" spans="1:5">
      <c r="A25" s="69" t="s">
        <v>24</v>
      </c>
      <c r="B25">
        <v>2</v>
      </c>
      <c r="C25" s="70">
        <v>0.58476740000000005</v>
      </c>
      <c r="D25">
        <f t="shared" si="0"/>
        <v>0.34195291210276008</v>
      </c>
    </row>
    <row r="26" spans="1:5">
      <c r="A26" s="69" t="s">
        <v>26</v>
      </c>
      <c r="B26">
        <v>2</v>
      </c>
      <c r="C26" s="70">
        <v>0.70083119999999999</v>
      </c>
      <c r="D26">
        <f t="shared" si="0"/>
        <v>0.49116437089344001</v>
      </c>
    </row>
    <row r="27" spans="1:5">
      <c r="A27" s="69" t="s">
        <v>39</v>
      </c>
      <c r="B27">
        <v>2</v>
      </c>
      <c r="C27" s="70">
        <v>1.195927</v>
      </c>
      <c r="D27">
        <f t="shared" si="0"/>
        <v>1.4302413893289998</v>
      </c>
    </row>
    <row r="28" spans="1:5">
      <c r="A28" s="69" t="s">
        <v>41</v>
      </c>
      <c r="B28">
        <v>2</v>
      </c>
      <c r="C28" s="70">
        <v>0.81892909999999997</v>
      </c>
      <c r="D28">
        <f t="shared" si="0"/>
        <v>0.6706448708268099</v>
      </c>
    </row>
    <row r="29" spans="1:5">
      <c r="A29" s="69" t="s">
        <v>45</v>
      </c>
      <c r="B29">
        <v>2</v>
      </c>
      <c r="C29" s="70">
        <v>1.076084</v>
      </c>
      <c r="D29">
        <f t="shared" si="0"/>
        <v>1.157956775056</v>
      </c>
    </row>
    <row r="30" spans="1:5">
      <c r="A30" s="69" t="s">
        <v>46</v>
      </c>
      <c r="B30">
        <v>2</v>
      </c>
      <c r="C30" s="70">
        <v>1.192728</v>
      </c>
      <c r="D30">
        <f t="shared" si="0"/>
        <v>1.4226000819840001</v>
      </c>
    </row>
    <row r="31" spans="1:5">
      <c r="A31" s="69" t="s">
        <v>47</v>
      </c>
      <c r="B31">
        <v>2</v>
      </c>
      <c r="C31" s="70">
        <v>0.84643199999999996</v>
      </c>
      <c r="D31">
        <f t="shared" si="0"/>
        <v>0.71644713062399989</v>
      </c>
    </row>
    <row r="32" spans="1:5">
      <c r="A32" s="69" t="s">
        <v>71</v>
      </c>
      <c r="B32">
        <v>2</v>
      </c>
      <c r="C32" s="70">
        <v>0.57087160000000003</v>
      </c>
      <c r="D32">
        <f t="shared" si="0"/>
        <v>0.32589438368656004</v>
      </c>
    </row>
    <row r="33" spans="1:4">
      <c r="A33" s="69" t="s">
        <v>143</v>
      </c>
      <c r="B33">
        <v>2</v>
      </c>
      <c r="C33" s="70">
        <v>0.51961950000000001</v>
      </c>
      <c r="D33">
        <f t="shared" si="0"/>
        <v>0.27000442478025</v>
      </c>
    </row>
    <row r="34" spans="1:4">
      <c r="A34" s="69" t="s">
        <v>82</v>
      </c>
      <c r="B34">
        <v>2</v>
      </c>
      <c r="C34" s="70">
        <v>1.184296</v>
      </c>
      <c r="D34">
        <f t="shared" si="0"/>
        <v>1.4025570156160001</v>
      </c>
    </row>
    <row r="35" spans="1:4">
      <c r="A35" s="69" t="s">
        <v>84</v>
      </c>
      <c r="B35">
        <v>2</v>
      </c>
      <c r="C35" s="70">
        <v>0.73855159999999997</v>
      </c>
      <c r="D35">
        <f t="shared" si="0"/>
        <v>0.54545846586255997</v>
      </c>
    </row>
    <row r="36" spans="1:4">
      <c r="A36" s="69" t="s">
        <v>85</v>
      </c>
      <c r="B36">
        <v>2</v>
      </c>
      <c r="C36" s="70">
        <v>0.61864459999999999</v>
      </c>
      <c r="D36">
        <f t="shared" si="0"/>
        <v>0.38272114110916</v>
      </c>
    </row>
    <row r="37" spans="1:4">
      <c r="A37" s="69" t="s">
        <v>87</v>
      </c>
      <c r="B37">
        <v>2</v>
      </c>
      <c r="C37" s="70">
        <v>0.59297690000000003</v>
      </c>
      <c r="D37">
        <f t="shared" si="0"/>
        <v>0.35162160393361003</v>
      </c>
    </row>
    <row r="38" spans="1:4">
      <c r="A38" s="69" t="s">
        <v>89</v>
      </c>
      <c r="B38">
        <v>2</v>
      </c>
      <c r="C38" s="70">
        <v>0.49475190000000002</v>
      </c>
      <c r="D38">
        <f t="shared" si="0"/>
        <v>0.24477944255361003</v>
      </c>
    </row>
    <row r="39" spans="1:4">
      <c r="A39" s="69" t="s">
        <v>90</v>
      </c>
      <c r="B39">
        <v>2</v>
      </c>
      <c r="C39" s="70">
        <v>0.4649585</v>
      </c>
      <c r="D39">
        <f t="shared" si="0"/>
        <v>0.21618640672225001</v>
      </c>
    </row>
    <row r="40" spans="1:4">
      <c r="A40" s="69" t="s">
        <v>93</v>
      </c>
      <c r="B40">
        <v>2</v>
      </c>
      <c r="C40" s="70">
        <v>1.4493990000000001</v>
      </c>
      <c r="D40">
        <f t="shared" si="0"/>
        <v>2.1007574612010003</v>
      </c>
    </row>
    <row r="41" spans="1:4">
      <c r="A41" s="69" t="s">
        <v>96</v>
      </c>
      <c r="B41">
        <v>2</v>
      </c>
      <c r="C41" s="70">
        <v>0.54346130000000004</v>
      </c>
      <c r="D41">
        <f t="shared" si="0"/>
        <v>0.29535018459769002</v>
      </c>
    </row>
    <row r="42" spans="1:4">
      <c r="A42" s="69" t="s">
        <v>97</v>
      </c>
      <c r="B42">
        <v>2</v>
      </c>
      <c r="C42" s="70">
        <v>0.98644690000000002</v>
      </c>
      <c r="D42">
        <f t="shared" si="0"/>
        <v>0.97307748651961001</v>
      </c>
    </row>
    <row r="43" spans="1:4">
      <c r="A43" s="69" t="s">
        <v>98</v>
      </c>
      <c r="B43">
        <v>2</v>
      </c>
      <c r="C43" s="70">
        <v>0.65535969999999999</v>
      </c>
      <c r="D43">
        <f t="shared" si="0"/>
        <v>0.42949633638408996</v>
      </c>
    </row>
    <row r="44" spans="1:4">
      <c r="A44" s="69" t="s">
        <v>145</v>
      </c>
      <c r="B44">
        <v>2</v>
      </c>
      <c r="C44" s="70">
        <v>0.57812909999999995</v>
      </c>
      <c r="D44">
        <f t="shared" si="0"/>
        <v>0.33423325626680994</v>
      </c>
    </row>
    <row r="45" spans="1:4">
      <c r="A45" s="69" t="s">
        <v>100</v>
      </c>
      <c r="B45">
        <v>2</v>
      </c>
      <c r="C45" s="70">
        <v>0.53270620000000002</v>
      </c>
      <c r="D45">
        <f t="shared" si="0"/>
        <v>0.28377589551844001</v>
      </c>
    </row>
    <row r="46" spans="1:4">
      <c r="A46" s="69" t="s">
        <v>101</v>
      </c>
      <c r="B46">
        <v>2</v>
      </c>
      <c r="C46" s="70">
        <v>1.3357760000000001</v>
      </c>
      <c r="D46">
        <f t="shared" si="0"/>
        <v>1.7842975221760002</v>
      </c>
    </row>
    <row r="47" spans="1:4">
      <c r="A47" s="69" t="s">
        <v>102</v>
      </c>
      <c r="B47">
        <v>2</v>
      </c>
      <c r="C47" s="70">
        <v>0.91372010000000004</v>
      </c>
      <c r="D47">
        <f t="shared" si="0"/>
        <v>0.83488442114401007</v>
      </c>
    </row>
    <row r="48" spans="1:4">
      <c r="A48" s="69" t="s">
        <v>103</v>
      </c>
      <c r="B48">
        <v>2</v>
      </c>
      <c r="C48" s="70">
        <v>0.94870589999999999</v>
      </c>
      <c r="D48">
        <f t="shared" si="0"/>
        <v>0.90004288469480997</v>
      </c>
    </row>
    <row r="49" spans="1:5">
      <c r="A49" s="71" t="s">
        <v>104</v>
      </c>
      <c r="B49" s="72">
        <v>2</v>
      </c>
      <c r="C49" s="73">
        <v>1.5036830000000001</v>
      </c>
      <c r="D49" s="72">
        <f t="shared" si="0"/>
        <v>2.2610625644890003</v>
      </c>
      <c r="E49" s="72">
        <f>SUM(D24:D49)</f>
        <v>20.817422619865432</v>
      </c>
    </row>
    <row r="50" spans="1:5">
      <c r="A50" s="69" t="s">
        <v>20</v>
      </c>
      <c r="B50">
        <v>3</v>
      </c>
      <c r="C50" s="70">
        <v>0.63670559999999998</v>
      </c>
      <c r="D50">
        <f t="shared" si="0"/>
        <v>0.40539402107135997</v>
      </c>
    </row>
    <row r="51" spans="1:5">
      <c r="A51" s="69" t="s">
        <v>23</v>
      </c>
      <c r="B51">
        <v>3</v>
      </c>
      <c r="C51" s="70">
        <v>0.26452680000000001</v>
      </c>
      <c r="D51">
        <f t="shared" si="0"/>
        <v>6.9974427918240004E-2</v>
      </c>
    </row>
    <row r="52" spans="1:5">
      <c r="A52" s="69" t="s">
        <v>27</v>
      </c>
      <c r="B52">
        <v>3</v>
      </c>
      <c r="C52" s="70">
        <v>0.51764480000000002</v>
      </c>
      <c r="D52">
        <f t="shared" si="0"/>
        <v>0.26795613896704001</v>
      </c>
    </row>
    <row r="53" spans="1:5">
      <c r="A53" s="69" t="s">
        <v>28</v>
      </c>
      <c r="B53">
        <v>3</v>
      </c>
      <c r="C53" s="70">
        <v>0.64340889999999995</v>
      </c>
      <c r="D53">
        <f t="shared" si="0"/>
        <v>0.41397501259920993</v>
      </c>
    </row>
    <row r="54" spans="1:5">
      <c r="A54" s="69" t="s">
        <v>31</v>
      </c>
      <c r="B54">
        <v>3</v>
      </c>
      <c r="C54" s="70">
        <v>0.48260570000000003</v>
      </c>
      <c r="D54">
        <f t="shared" si="0"/>
        <v>0.23290826167249001</v>
      </c>
    </row>
    <row r="55" spans="1:5">
      <c r="A55" s="69" t="s">
        <v>32</v>
      </c>
      <c r="B55">
        <v>3</v>
      </c>
      <c r="C55" s="70">
        <v>0.54240350000000004</v>
      </c>
      <c r="D55">
        <f t="shared" si="0"/>
        <v>0.29420155681225002</v>
      </c>
    </row>
    <row r="56" spans="1:5">
      <c r="A56" s="69" t="s">
        <v>33</v>
      </c>
      <c r="B56">
        <v>3</v>
      </c>
      <c r="C56" s="70">
        <v>0.89435940000000003</v>
      </c>
      <c r="D56">
        <f t="shared" si="0"/>
        <v>0.79987873636836004</v>
      </c>
    </row>
    <row r="57" spans="1:5">
      <c r="A57" s="69" t="s">
        <v>34</v>
      </c>
      <c r="B57">
        <v>3</v>
      </c>
      <c r="C57" s="70">
        <v>0.49130600000000002</v>
      </c>
      <c r="D57">
        <f t="shared" si="0"/>
        <v>0.24138158563600001</v>
      </c>
    </row>
    <row r="58" spans="1:5">
      <c r="A58" s="69" t="s">
        <v>35</v>
      </c>
      <c r="B58">
        <v>3</v>
      </c>
      <c r="C58" s="70">
        <v>0.56521880000000002</v>
      </c>
      <c r="D58">
        <f t="shared" si="0"/>
        <v>0.31947229187344001</v>
      </c>
    </row>
    <row r="59" spans="1:5">
      <c r="A59" s="69" t="s">
        <v>36</v>
      </c>
      <c r="B59">
        <v>3</v>
      </c>
      <c r="C59" s="70">
        <v>0.58046869999999995</v>
      </c>
      <c r="D59">
        <f t="shared" si="0"/>
        <v>0.33694391167968996</v>
      </c>
    </row>
    <row r="60" spans="1:5">
      <c r="A60" s="69" t="s">
        <v>43</v>
      </c>
      <c r="B60">
        <v>3</v>
      </c>
      <c r="C60" s="70">
        <v>0.50362169999999995</v>
      </c>
      <c r="D60">
        <f t="shared" si="0"/>
        <v>0.25363481671088994</v>
      </c>
    </row>
    <row r="61" spans="1:5">
      <c r="A61" s="69" t="s">
        <v>50</v>
      </c>
      <c r="B61">
        <v>3</v>
      </c>
      <c r="C61" s="70">
        <v>1.233034</v>
      </c>
      <c r="D61">
        <f t="shared" si="0"/>
        <v>1.5203728451559999</v>
      </c>
    </row>
    <row r="62" spans="1:5">
      <c r="A62" s="69" t="s">
        <v>51</v>
      </c>
      <c r="B62">
        <v>3</v>
      </c>
      <c r="C62" s="70">
        <v>0.71260449999999997</v>
      </c>
      <c r="D62">
        <f t="shared" si="0"/>
        <v>0.50780517342025</v>
      </c>
    </row>
    <row r="63" spans="1:5">
      <c r="A63" s="69" t="s">
        <v>146</v>
      </c>
      <c r="B63">
        <v>3</v>
      </c>
      <c r="C63" s="70">
        <v>0.65818330000000003</v>
      </c>
      <c r="D63">
        <f t="shared" si="0"/>
        <v>0.43320525639889002</v>
      </c>
    </row>
    <row r="64" spans="1:5">
      <c r="A64" s="69" t="s">
        <v>53</v>
      </c>
      <c r="B64">
        <v>3</v>
      </c>
      <c r="C64" s="70">
        <v>0.52797360000000004</v>
      </c>
      <c r="D64">
        <f t="shared" si="0"/>
        <v>0.27875612229696006</v>
      </c>
    </row>
    <row r="65" spans="1:5">
      <c r="A65" s="69" t="s">
        <v>54</v>
      </c>
      <c r="B65">
        <v>3</v>
      </c>
      <c r="C65" s="70">
        <v>0.61782269999999995</v>
      </c>
      <c r="D65">
        <f t="shared" si="0"/>
        <v>0.38170488863528995</v>
      </c>
    </row>
    <row r="66" spans="1:5">
      <c r="A66" s="69" t="s">
        <v>55</v>
      </c>
      <c r="B66">
        <v>3</v>
      </c>
      <c r="C66" s="70">
        <v>0.62188679999999996</v>
      </c>
      <c r="D66">
        <f t="shared" si="0"/>
        <v>0.38674319201423996</v>
      </c>
    </row>
    <row r="67" spans="1:5">
      <c r="A67" s="69" t="s">
        <v>57</v>
      </c>
      <c r="B67">
        <v>3</v>
      </c>
      <c r="C67" s="70">
        <v>1.1327199999999999</v>
      </c>
      <c r="D67">
        <f t="shared" ref="D67:D86" si="1">C67*C67</f>
        <v>1.2830545983999999</v>
      </c>
    </row>
    <row r="68" spans="1:5">
      <c r="A68" s="69" t="s">
        <v>59</v>
      </c>
      <c r="B68">
        <v>3</v>
      </c>
      <c r="C68" s="70">
        <v>0.98069410000000001</v>
      </c>
      <c r="D68">
        <f t="shared" si="1"/>
        <v>0.96176091777480999</v>
      </c>
    </row>
    <row r="69" spans="1:5">
      <c r="A69" s="69" t="s">
        <v>61</v>
      </c>
      <c r="B69">
        <v>3</v>
      </c>
      <c r="C69" s="70">
        <v>1.82054</v>
      </c>
      <c r="D69">
        <f t="shared" si="1"/>
        <v>3.3143658916000001</v>
      </c>
    </row>
    <row r="70" spans="1:5">
      <c r="A70" s="69" t="s">
        <v>63</v>
      </c>
      <c r="B70">
        <v>3</v>
      </c>
      <c r="C70" s="70">
        <v>0.83947539999999998</v>
      </c>
      <c r="D70">
        <f t="shared" si="1"/>
        <v>0.70471894720515993</v>
      </c>
    </row>
    <row r="71" spans="1:5">
      <c r="A71" s="69" t="s">
        <v>65</v>
      </c>
      <c r="B71">
        <v>3</v>
      </c>
      <c r="C71" s="70">
        <v>0.6579701</v>
      </c>
      <c r="D71">
        <f t="shared" si="1"/>
        <v>0.43292465249401002</v>
      </c>
    </row>
    <row r="72" spans="1:5">
      <c r="A72" s="69" t="s">
        <v>66</v>
      </c>
      <c r="B72">
        <v>3</v>
      </c>
      <c r="C72" s="70">
        <v>0.89622069999999998</v>
      </c>
      <c r="D72">
        <f t="shared" si="1"/>
        <v>0.80321154310848997</v>
      </c>
    </row>
    <row r="73" spans="1:5">
      <c r="A73" s="69" t="s">
        <v>67</v>
      </c>
      <c r="B73">
        <v>3</v>
      </c>
      <c r="C73" s="70">
        <v>1.1887529999999999</v>
      </c>
      <c r="D73">
        <f t="shared" si="1"/>
        <v>1.4131336950089999</v>
      </c>
    </row>
    <row r="74" spans="1:5">
      <c r="A74" s="69" t="s">
        <v>69</v>
      </c>
      <c r="B74">
        <v>3</v>
      </c>
      <c r="C74" s="70">
        <v>0.57388830000000002</v>
      </c>
      <c r="D74">
        <f t="shared" si="1"/>
        <v>0.32934778087689004</v>
      </c>
    </row>
    <row r="75" spans="1:5">
      <c r="A75" s="69" t="s">
        <v>74</v>
      </c>
      <c r="B75">
        <v>3</v>
      </c>
      <c r="C75" s="70">
        <v>0.45100899999999999</v>
      </c>
      <c r="D75">
        <f t="shared" si="1"/>
        <v>0.20340911808099998</v>
      </c>
    </row>
    <row r="76" spans="1:5">
      <c r="A76" s="69" t="s">
        <v>76</v>
      </c>
      <c r="B76">
        <v>3</v>
      </c>
      <c r="C76" s="70">
        <v>0.42794589999999999</v>
      </c>
      <c r="D76">
        <f t="shared" si="1"/>
        <v>0.18313769332680999</v>
      </c>
    </row>
    <row r="77" spans="1:5">
      <c r="A77" s="69" t="s">
        <v>77</v>
      </c>
      <c r="B77">
        <v>3</v>
      </c>
      <c r="C77" s="70">
        <v>0.64117829999999998</v>
      </c>
      <c r="D77">
        <f t="shared" si="1"/>
        <v>0.41110961239089</v>
      </c>
    </row>
    <row r="78" spans="1:5">
      <c r="A78" s="69" t="s">
        <v>144</v>
      </c>
      <c r="B78">
        <v>3</v>
      </c>
      <c r="C78" s="70">
        <v>0.48240959999999999</v>
      </c>
      <c r="D78">
        <f t="shared" si="1"/>
        <v>0.23271902217216001</v>
      </c>
    </row>
    <row r="79" spans="1:5">
      <c r="A79" s="69" t="s">
        <v>92</v>
      </c>
      <c r="B79">
        <v>3</v>
      </c>
      <c r="C79" s="70">
        <v>0.81527349999999998</v>
      </c>
      <c r="D79">
        <f t="shared" si="1"/>
        <v>0.66467087980224993</v>
      </c>
    </row>
    <row r="80" spans="1:5">
      <c r="A80" s="71" t="s">
        <v>94</v>
      </c>
      <c r="B80" s="72">
        <v>3</v>
      </c>
      <c r="C80" s="73">
        <v>0.71368339999999997</v>
      </c>
      <c r="D80" s="72">
        <f t="shared" si="1"/>
        <v>0.50934399543555997</v>
      </c>
      <c r="E80" s="72">
        <f>SUM(D50:D80)</f>
        <v>18.591216586907635</v>
      </c>
    </row>
    <row r="81" spans="1:5">
      <c r="A81" s="69" t="s">
        <v>29</v>
      </c>
      <c r="B81">
        <v>4</v>
      </c>
      <c r="C81" s="70">
        <v>0.86734469999999997</v>
      </c>
      <c r="D81">
        <f t="shared" si="1"/>
        <v>0.75228682861808993</v>
      </c>
    </row>
    <row r="82" spans="1:5">
      <c r="A82" s="69" t="s">
        <v>37</v>
      </c>
      <c r="B82">
        <v>4</v>
      </c>
      <c r="C82" s="70">
        <v>1.5027470000000001</v>
      </c>
      <c r="D82">
        <f t="shared" si="1"/>
        <v>2.2582485460090003</v>
      </c>
    </row>
    <row r="83" spans="1:5">
      <c r="A83" s="69" t="s">
        <v>48</v>
      </c>
      <c r="B83">
        <v>4</v>
      </c>
      <c r="C83" s="70">
        <v>1.4302699999999999</v>
      </c>
      <c r="D83">
        <f t="shared" si="1"/>
        <v>2.0456722728999996</v>
      </c>
    </row>
    <row r="84" spans="1:5">
      <c r="A84" s="69" t="s">
        <v>56</v>
      </c>
      <c r="B84">
        <v>4</v>
      </c>
      <c r="C84" s="70">
        <v>0.9723136</v>
      </c>
      <c r="D84">
        <f t="shared" si="1"/>
        <v>0.94539373674495997</v>
      </c>
    </row>
    <row r="85" spans="1:5">
      <c r="A85" s="69" t="s">
        <v>58</v>
      </c>
      <c r="B85">
        <v>4</v>
      </c>
      <c r="C85" s="70">
        <v>1.1234470000000001</v>
      </c>
      <c r="D85">
        <f t="shared" si="1"/>
        <v>1.2621331618090001</v>
      </c>
    </row>
    <row r="86" spans="1:5">
      <c r="A86" s="71" t="s">
        <v>62</v>
      </c>
      <c r="B86" s="72">
        <v>4</v>
      </c>
      <c r="C86" s="73">
        <v>1.085688</v>
      </c>
      <c r="D86" s="72">
        <f t="shared" si="1"/>
        <v>1.1787184333439999</v>
      </c>
      <c r="E86" s="72">
        <f>SUM(D81:D86)</f>
        <v>8.4424529794250507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B718-CC15-41BE-AEC6-19572FAAE86D}">
  <dimension ref="A1:I23"/>
  <sheetViews>
    <sheetView workbookViewId="0">
      <selection activeCell="B11" sqref="B11"/>
    </sheetView>
  </sheetViews>
  <sheetFormatPr defaultRowHeight="14.4"/>
  <cols>
    <col min="2" max="2" width="23.5546875" bestFit="1" customWidth="1"/>
    <col min="3" max="3" width="23.44140625" bestFit="1" customWidth="1"/>
    <col min="4" max="4" width="23.5546875" bestFit="1" customWidth="1"/>
    <col min="5" max="5" width="8.5546875" bestFit="1" customWidth="1"/>
    <col min="6" max="6" width="11" customWidth="1"/>
    <col min="7" max="7" width="15.88671875" customWidth="1"/>
  </cols>
  <sheetData>
    <row r="1" spans="1:9" ht="26.4">
      <c r="A1" s="60" t="s">
        <v>124</v>
      </c>
      <c r="B1" s="61" t="s">
        <v>125</v>
      </c>
      <c r="C1" s="61" t="s">
        <v>126</v>
      </c>
      <c r="D1" s="22" t="s">
        <v>130</v>
      </c>
      <c r="E1" s="61" t="s">
        <v>127</v>
      </c>
      <c r="F1" s="61" t="s">
        <v>126</v>
      </c>
      <c r="G1" s="62" t="s">
        <v>131</v>
      </c>
      <c r="H1" s="61" t="s">
        <v>128</v>
      </c>
      <c r="I1" s="61" t="s">
        <v>129</v>
      </c>
    </row>
    <row r="2" spans="1:9">
      <c r="A2" s="63" t="s">
        <v>0</v>
      </c>
      <c r="B2" s="64">
        <v>41.353659999999998</v>
      </c>
      <c r="C2" s="65">
        <v>3</v>
      </c>
      <c r="D2" s="22">
        <f>B2/C2</f>
        <v>13.784553333333333</v>
      </c>
      <c r="E2" s="64">
        <v>42.646340000000002</v>
      </c>
      <c r="F2" s="65">
        <v>81</v>
      </c>
      <c r="G2" s="66">
        <f>E2/F2</f>
        <v>0.52649802469135809</v>
      </c>
      <c r="H2" s="64">
        <v>26.18159</v>
      </c>
      <c r="I2" s="67">
        <v>6.1445120000000004E-12</v>
      </c>
    </row>
    <row r="3" spans="1:9">
      <c r="A3" s="63" t="s">
        <v>1</v>
      </c>
      <c r="B3" s="64">
        <v>13.686</v>
      </c>
      <c r="C3" s="65">
        <v>3</v>
      </c>
      <c r="D3" s="22">
        <f t="shared" ref="D3:D10" si="0">B3/C3</f>
        <v>4.5620000000000003</v>
      </c>
      <c r="E3" s="64">
        <v>70.313999999999993</v>
      </c>
      <c r="F3" s="65">
        <v>81</v>
      </c>
      <c r="G3" s="66">
        <f t="shared" ref="G3:G10" si="1">E3/F3</f>
        <v>0.868074074074074</v>
      </c>
      <c r="H3" s="64">
        <v>5.2553140000000003</v>
      </c>
      <c r="I3" s="67">
        <v>2.305769E-3</v>
      </c>
    </row>
    <row r="4" spans="1:9">
      <c r="A4" s="63" t="s">
        <v>2</v>
      </c>
      <c r="B4" s="64">
        <v>33.377090000000003</v>
      </c>
      <c r="C4" s="65">
        <v>3</v>
      </c>
      <c r="D4" s="22">
        <f t="shared" si="0"/>
        <v>11.125696666666668</v>
      </c>
      <c r="E4" s="64">
        <v>50.622909999999997</v>
      </c>
      <c r="F4" s="65">
        <v>81</v>
      </c>
      <c r="G4" s="66">
        <f t="shared" si="1"/>
        <v>0.62497419753086414</v>
      </c>
      <c r="H4" s="64">
        <v>17.801850000000002</v>
      </c>
      <c r="I4" s="67">
        <v>5.7574879999999999E-9</v>
      </c>
    </row>
    <row r="5" spans="1:9">
      <c r="A5" s="63" t="s">
        <v>3</v>
      </c>
      <c r="B5" s="64">
        <v>53.027940000000001</v>
      </c>
      <c r="C5" s="65">
        <v>3</v>
      </c>
      <c r="D5" s="22">
        <f t="shared" si="0"/>
        <v>17.675979999999999</v>
      </c>
      <c r="E5" s="64">
        <v>30.972059999999999</v>
      </c>
      <c r="F5" s="65">
        <v>81</v>
      </c>
      <c r="G5" s="66">
        <f t="shared" si="1"/>
        <v>0.38237111111111111</v>
      </c>
      <c r="H5" s="64">
        <v>46.22728</v>
      </c>
      <c r="I5" s="67">
        <v>1.637908E-17</v>
      </c>
    </row>
    <row r="6" spans="1:9">
      <c r="A6" s="63" t="s">
        <v>4</v>
      </c>
      <c r="B6" s="64">
        <v>7.71122</v>
      </c>
      <c r="C6" s="65">
        <v>3</v>
      </c>
      <c r="D6" s="22">
        <f t="shared" si="0"/>
        <v>2.5704066666666665</v>
      </c>
      <c r="E6" s="64">
        <v>76.288780000000003</v>
      </c>
      <c r="F6" s="65">
        <v>81</v>
      </c>
      <c r="G6" s="66">
        <f t="shared" si="1"/>
        <v>0.94183679012345678</v>
      </c>
      <c r="H6" s="64">
        <v>2.729142</v>
      </c>
      <c r="I6" s="67">
        <v>4.9280160000000003E-2</v>
      </c>
    </row>
    <row r="7" spans="1:9">
      <c r="A7" s="63" t="s">
        <v>5</v>
      </c>
      <c r="B7" s="64">
        <v>22.911580000000001</v>
      </c>
      <c r="C7" s="65">
        <v>3</v>
      </c>
      <c r="D7" s="22">
        <f t="shared" si="0"/>
        <v>7.6371933333333333</v>
      </c>
      <c r="E7" s="64">
        <v>61.088419999999999</v>
      </c>
      <c r="F7" s="65">
        <v>81</v>
      </c>
      <c r="G7" s="66">
        <f t="shared" si="1"/>
        <v>0.75417802469135797</v>
      </c>
      <c r="H7" s="64">
        <v>10.12651</v>
      </c>
      <c r="I7" s="67">
        <v>9.759456E-6</v>
      </c>
    </row>
    <row r="8" spans="1:9">
      <c r="A8" s="63" t="s">
        <v>6</v>
      </c>
      <c r="B8" s="64">
        <v>31.55988</v>
      </c>
      <c r="C8" s="65">
        <v>3</v>
      </c>
      <c r="D8" s="22">
        <f t="shared" si="0"/>
        <v>10.519959999999999</v>
      </c>
      <c r="E8" s="64">
        <v>52.44012</v>
      </c>
      <c r="F8" s="65">
        <v>81</v>
      </c>
      <c r="G8" s="66">
        <f t="shared" si="1"/>
        <v>0.64740888888888892</v>
      </c>
      <c r="H8" s="64">
        <v>16.24933</v>
      </c>
      <c r="I8" s="67">
        <v>2.3394699999999999E-8</v>
      </c>
    </row>
    <row r="9" spans="1:9">
      <c r="A9" s="63" t="s">
        <v>7</v>
      </c>
      <c r="B9" s="64">
        <v>9.4720899999999997</v>
      </c>
      <c r="C9" s="65">
        <v>3</v>
      </c>
      <c r="D9" s="22">
        <f t="shared" si="0"/>
        <v>3.1573633333333331</v>
      </c>
      <c r="E9" s="64">
        <v>74.527910000000006</v>
      </c>
      <c r="F9" s="65">
        <v>81</v>
      </c>
      <c r="G9" s="66">
        <f t="shared" si="1"/>
        <v>0.92009765432098778</v>
      </c>
      <c r="H9" s="64">
        <v>3.4315519999999999</v>
      </c>
      <c r="I9" s="67">
        <v>2.0815150000000001E-2</v>
      </c>
    </row>
    <row r="10" spans="1:9">
      <c r="A10" s="63" t="s">
        <v>8</v>
      </c>
      <c r="B10" s="64">
        <v>9.895505</v>
      </c>
      <c r="C10" s="65">
        <v>3</v>
      </c>
      <c r="D10" s="22">
        <f t="shared" si="0"/>
        <v>3.2985016666666667</v>
      </c>
      <c r="E10" s="64">
        <v>74.104489999999998</v>
      </c>
      <c r="F10" s="65">
        <v>81</v>
      </c>
      <c r="G10" s="66">
        <f t="shared" si="1"/>
        <v>0.91487024691358021</v>
      </c>
      <c r="H10" s="64">
        <v>3.6054309999999998</v>
      </c>
      <c r="I10" s="67">
        <v>1.6829759999999999E-2</v>
      </c>
    </row>
    <row r="11" spans="1:9">
      <c r="G11" s="59"/>
    </row>
    <row r="14" spans="1:9">
      <c r="A14" s="22" t="s">
        <v>124</v>
      </c>
      <c r="B14" s="22" t="s">
        <v>130</v>
      </c>
      <c r="C14" s="22" t="s">
        <v>131</v>
      </c>
    </row>
    <row r="15" spans="1:9">
      <c r="A15" s="22" t="s">
        <v>0</v>
      </c>
      <c r="B15" s="22">
        <v>13.784553333333333</v>
      </c>
      <c r="C15" s="22">
        <v>0.52649802469135809</v>
      </c>
    </row>
    <row r="16" spans="1:9">
      <c r="A16" s="22" t="s">
        <v>1</v>
      </c>
      <c r="B16" s="22">
        <v>4.5620000000000003</v>
      </c>
      <c r="C16" s="22">
        <v>0.868074074074074</v>
      </c>
    </row>
    <row r="17" spans="1:3">
      <c r="A17" s="22" t="s">
        <v>2</v>
      </c>
      <c r="B17" s="22">
        <v>11.125696666666668</v>
      </c>
      <c r="C17" s="22">
        <v>0.62497419753086414</v>
      </c>
    </row>
    <row r="18" spans="1:3">
      <c r="A18" s="22" t="s">
        <v>3</v>
      </c>
      <c r="B18" s="22">
        <v>17.675979999999999</v>
      </c>
      <c r="C18" s="22">
        <v>0.38237111111111111</v>
      </c>
    </row>
    <row r="19" spans="1:3">
      <c r="A19" s="22" t="s">
        <v>4</v>
      </c>
      <c r="B19" s="22">
        <v>2.5704066666666665</v>
      </c>
      <c r="C19" s="22">
        <v>0.94183679012345678</v>
      </c>
    </row>
    <row r="20" spans="1:3">
      <c r="A20" s="22" t="s">
        <v>5</v>
      </c>
      <c r="B20" s="22">
        <v>7.6371933333333333</v>
      </c>
      <c r="C20" s="22">
        <v>0.75417802469135797</v>
      </c>
    </row>
    <row r="21" spans="1:3">
      <c r="A21" s="22" t="s">
        <v>6</v>
      </c>
      <c r="B21" s="22">
        <v>10.519959999999999</v>
      </c>
      <c r="C21" s="22">
        <v>0.64740888888888892</v>
      </c>
    </row>
    <row r="22" spans="1:3">
      <c r="A22" s="22" t="s">
        <v>7</v>
      </c>
      <c r="B22" s="22">
        <v>3.1573633333333331</v>
      </c>
      <c r="C22" s="22">
        <v>0.92009765432098778</v>
      </c>
    </row>
    <row r="23" spans="1:3">
      <c r="A23" s="22" t="s">
        <v>8</v>
      </c>
      <c r="B23" s="22">
        <v>3.2985016666666667</v>
      </c>
      <c r="C23" s="22">
        <v>0.91487024691358021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C6E4-688B-4DD6-9732-6DC00702A87A}">
  <dimension ref="A19:AA38"/>
  <sheetViews>
    <sheetView topLeftCell="Q1" zoomScale="112" zoomScaleNormal="130" workbookViewId="0">
      <selection activeCell="S10" sqref="S10"/>
    </sheetView>
  </sheetViews>
  <sheetFormatPr defaultRowHeight="14.4"/>
  <cols>
    <col min="2" max="2" width="12.21875" bestFit="1" customWidth="1"/>
    <col min="3" max="3" width="12.109375" bestFit="1" customWidth="1"/>
    <col min="4" max="5" width="12.33203125" bestFit="1" customWidth="1"/>
    <col min="6" max="6" width="13" bestFit="1" customWidth="1"/>
    <col min="7" max="7" width="12.21875" bestFit="1" customWidth="1"/>
    <col min="14" max="14" width="15.77734375" bestFit="1" customWidth="1"/>
    <col min="15" max="15" width="19.6640625" bestFit="1" customWidth="1"/>
    <col min="16" max="16" width="12.109375" bestFit="1" customWidth="1"/>
    <col min="17" max="17" width="12.21875" bestFit="1" customWidth="1"/>
    <col min="18" max="18" width="13.33203125" bestFit="1" customWidth="1"/>
    <col min="19" max="19" width="12.6640625" bestFit="1" customWidth="1"/>
    <col min="23" max="23" width="12.6640625" customWidth="1"/>
    <col min="24" max="26" width="11.5546875" bestFit="1" customWidth="1"/>
  </cols>
  <sheetData>
    <row r="19" spans="1:27" ht="15" thickBot="1">
      <c r="S19" s="5"/>
    </row>
    <row r="20" spans="1:27" ht="30" customHeight="1" thickBot="1">
      <c r="A20" s="30" t="s">
        <v>16</v>
      </c>
      <c r="B20" s="31" t="s">
        <v>108</v>
      </c>
      <c r="C20" s="31" t="s">
        <v>109</v>
      </c>
      <c r="D20" s="31" t="s">
        <v>110</v>
      </c>
      <c r="E20" s="31" t="s">
        <v>111</v>
      </c>
      <c r="F20" s="31" t="s">
        <v>122</v>
      </c>
      <c r="G20" s="31" t="s">
        <v>123</v>
      </c>
      <c r="L20" s="43" t="s">
        <v>16</v>
      </c>
      <c r="M20" s="44" t="s">
        <v>108</v>
      </c>
      <c r="N20" s="44" t="s">
        <v>109</v>
      </c>
      <c r="O20" s="44" t="s">
        <v>110</v>
      </c>
      <c r="P20" s="44" t="s">
        <v>111</v>
      </c>
      <c r="Q20" s="44" t="s">
        <v>122</v>
      </c>
      <c r="R20" s="44" t="s">
        <v>123</v>
      </c>
      <c r="S20" s="13"/>
      <c r="T20" s="5"/>
      <c r="U20" s="20"/>
      <c r="V20" s="30" t="s">
        <v>16</v>
      </c>
      <c r="W20" s="31" t="s">
        <v>108</v>
      </c>
      <c r="X20" s="31" t="s">
        <v>109</v>
      </c>
      <c r="Y20" s="31" t="s">
        <v>110</v>
      </c>
      <c r="Z20" s="31" t="s">
        <v>111</v>
      </c>
      <c r="AA20" s="5"/>
    </row>
    <row r="21" spans="1:27" ht="28.2" customHeight="1" thickBot="1">
      <c r="A21" s="32" t="s">
        <v>0</v>
      </c>
      <c r="B21" s="33">
        <v>-0.71804347000000002</v>
      </c>
      <c r="C21" s="33">
        <v>0.82783810899999999</v>
      </c>
      <c r="D21" s="33">
        <v>1.465518047</v>
      </c>
      <c r="E21" s="33">
        <v>-1.0827782180000001</v>
      </c>
      <c r="F21" s="33">
        <v>0.127612488</v>
      </c>
      <c r="G21" s="33">
        <v>-0.46328487699999998</v>
      </c>
      <c r="L21" s="32" t="s">
        <v>0</v>
      </c>
      <c r="M21" s="33">
        <v>0.668796795</v>
      </c>
      <c r="N21" s="33">
        <v>-0.71804347000000002</v>
      </c>
      <c r="O21" s="33">
        <v>-1.2524222899999999</v>
      </c>
      <c r="P21" s="33">
        <v>0.82783810899999999</v>
      </c>
      <c r="Q21" s="33">
        <v>0.11232626800000001</v>
      </c>
      <c r="R21" s="33">
        <v>-0.60614363199999999</v>
      </c>
      <c r="S21" s="15"/>
      <c r="T21" s="5"/>
      <c r="U21" s="14"/>
      <c r="V21" s="32" t="s">
        <v>0</v>
      </c>
      <c r="W21" s="58">
        <v>-0.84188364100000002</v>
      </c>
      <c r="X21" s="33">
        <v>-0.31328332399999997</v>
      </c>
      <c r="Y21" s="33">
        <v>-0.177519383</v>
      </c>
      <c r="Z21" s="33">
        <v>1.194693408</v>
      </c>
      <c r="AA21" s="5"/>
    </row>
    <row r="22" spans="1:27" ht="14.4" customHeight="1" thickBot="1">
      <c r="A22" s="32" t="s">
        <v>1</v>
      </c>
      <c r="B22" s="33">
        <v>-0.29736586300000001</v>
      </c>
      <c r="C22" s="33">
        <v>2.1443685299999999</v>
      </c>
      <c r="D22" s="33">
        <v>-1.674917902</v>
      </c>
      <c r="E22" s="33">
        <v>2.5860601330000001</v>
      </c>
      <c r="F22" s="33">
        <v>-0.162723491</v>
      </c>
      <c r="G22" s="33">
        <v>0.240413236</v>
      </c>
      <c r="L22" s="32" t="s">
        <v>1</v>
      </c>
      <c r="M22" s="33">
        <v>-0.29457769900000003</v>
      </c>
      <c r="N22" s="33">
        <v>-0.29736586300000001</v>
      </c>
      <c r="O22" s="33">
        <v>-0.64867449300000002</v>
      </c>
      <c r="P22" s="33">
        <v>2.1443685299999999</v>
      </c>
      <c r="Q22" s="33">
        <v>-0.24120725100000001</v>
      </c>
      <c r="R22" s="33">
        <v>1.0086743730000001</v>
      </c>
      <c r="S22" s="15"/>
      <c r="T22" s="5"/>
      <c r="U22" s="14"/>
      <c r="V22" s="32" t="s">
        <v>1</v>
      </c>
      <c r="W22" s="33">
        <v>0.09</v>
      </c>
      <c r="X22" s="33">
        <v>0.91</v>
      </c>
      <c r="Y22" s="33">
        <v>-8.1254723000000001E-2</v>
      </c>
      <c r="Z22" s="33">
        <v>-0.73306291499999998</v>
      </c>
      <c r="AA22" s="5"/>
    </row>
    <row r="23" spans="1:27" ht="15" customHeight="1" thickBot="1">
      <c r="A23" s="32" t="s">
        <v>2</v>
      </c>
      <c r="B23" s="33">
        <v>-0.91682958999999997</v>
      </c>
      <c r="C23" s="33">
        <v>2.6027581000000001E-2</v>
      </c>
      <c r="D23" s="33">
        <v>-1.2830671570000001</v>
      </c>
      <c r="E23" s="33">
        <v>0.18329388599999999</v>
      </c>
      <c r="F23" s="33">
        <v>-0.140838565</v>
      </c>
      <c r="G23" s="33">
        <v>0.52939383399999995</v>
      </c>
      <c r="L23" s="32" t="s">
        <v>2</v>
      </c>
      <c r="M23" s="33">
        <v>-0.90053512199999997</v>
      </c>
      <c r="N23" s="33">
        <v>-0.91682958999999997</v>
      </c>
      <c r="O23" s="33">
        <v>-0.14506433299999999</v>
      </c>
      <c r="P23" s="33">
        <v>2.6027581000000001E-2</v>
      </c>
      <c r="Q23" s="33">
        <v>-0.146855177</v>
      </c>
      <c r="R23" s="33">
        <v>0.90382082699999999</v>
      </c>
      <c r="S23" s="15"/>
      <c r="T23" s="5"/>
      <c r="U23" s="14"/>
      <c r="V23" s="32" t="s">
        <v>2</v>
      </c>
      <c r="W23" s="33">
        <v>-0.37</v>
      </c>
      <c r="X23" s="33">
        <v>1</v>
      </c>
      <c r="Y23" s="33">
        <v>-5.9440279999999998E-2</v>
      </c>
      <c r="Z23" s="33">
        <v>-0.747729223</v>
      </c>
      <c r="AA23" s="5"/>
    </row>
    <row r="24" spans="1:27" ht="14.4" customHeight="1" thickBot="1">
      <c r="A24" s="32" t="s">
        <v>3</v>
      </c>
      <c r="B24" s="33">
        <v>0.936645481</v>
      </c>
      <c r="C24" s="33">
        <v>5.2698493150000001</v>
      </c>
      <c r="D24" s="33">
        <v>1.0880457690000001</v>
      </c>
      <c r="E24" s="33">
        <v>-0.576137703</v>
      </c>
      <c r="F24" s="33">
        <v>-0.103483014</v>
      </c>
      <c r="G24" s="33">
        <v>-0.44532695799999999</v>
      </c>
      <c r="L24" s="32" t="s">
        <v>3</v>
      </c>
      <c r="M24" s="33">
        <v>-0.61663420300000005</v>
      </c>
      <c r="N24" s="33">
        <v>0.936645481</v>
      </c>
      <c r="O24" s="33">
        <v>-0.67773143700000005</v>
      </c>
      <c r="P24" s="33">
        <v>5.2698493150000001</v>
      </c>
      <c r="Q24" s="33">
        <v>-3.5961460000000001E-2</v>
      </c>
      <c r="R24" s="33">
        <v>-0.59788928200000002</v>
      </c>
      <c r="S24" s="15"/>
      <c r="T24" s="5"/>
      <c r="U24" s="14"/>
      <c r="V24" s="32" t="s">
        <v>3</v>
      </c>
      <c r="W24" s="33">
        <v>-0.19</v>
      </c>
      <c r="X24" s="33">
        <v>-0.57999999999999996</v>
      </c>
      <c r="Y24" s="33">
        <v>-0.19379722199999999</v>
      </c>
      <c r="Z24" s="33">
        <v>1.3148216930000001</v>
      </c>
      <c r="AA24" s="5"/>
    </row>
    <row r="25" spans="1:27" ht="15" customHeight="1" thickBot="1">
      <c r="A25" s="32" t="s">
        <v>4</v>
      </c>
      <c r="B25" s="33">
        <v>4.32270997</v>
      </c>
      <c r="C25" s="33">
        <v>-0.36130399400000002</v>
      </c>
      <c r="D25" s="33">
        <v>0.45912578199999998</v>
      </c>
      <c r="E25" s="33">
        <v>-0.22553547199999999</v>
      </c>
      <c r="F25" s="33">
        <v>-0.202170657</v>
      </c>
      <c r="G25" s="33">
        <v>8.8136627999999995E-2</v>
      </c>
      <c r="L25" s="32" t="s">
        <v>4</v>
      </c>
      <c r="M25" s="33">
        <v>-0.40203454900000002</v>
      </c>
      <c r="N25" s="33">
        <v>4.32270997</v>
      </c>
      <c r="O25" s="33">
        <v>-0.15765121200000001</v>
      </c>
      <c r="P25" s="33">
        <v>-0.36130399400000002</v>
      </c>
      <c r="Q25" s="33">
        <v>-0.16008288600000001</v>
      </c>
      <c r="R25" s="33">
        <v>0.59116439899999995</v>
      </c>
      <c r="S25" s="15"/>
      <c r="T25" s="5"/>
      <c r="U25" s="14"/>
      <c r="V25" s="32" t="s">
        <v>4</v>
      </c>
      <c r="W25" s="33">
        <v>2.83</v>
      </c>
      <c r="X25" s="33">
        <v>-0.5</v>
      </c>
      <c r="Y25" s="33">
        <v>-7.3696391999999999E-2</v>
      </c>
      <c r="Z25" s="33">
        <v>-0.165797323</v>
      </c>
      <c r="AA25" s="5"/>
    </row>
    <row r="26" spans="1:27" ht="15" thickBot="1">
      <c r="A26" s="32" t="s">
        <v>5</v>
      </c>
      <c r="B26" s="33">
        <v>0.97105383000000001</v>
      </c>
      <c r="C26" s="33">
        <v>-0.86920479299999998</v>
      </c>
      <c r="D26" s="33">
        <v>-1.35413377</v>
      </c>
      <c r="E26" s="33">
        <v>-0.21485961100000001</v>
      </c>
      <c r="F26" s="33">
        <v>-6.6514981000000001E-2</v>
      </c>
      <c r="G26" s="33">
        <v>0.47417293599999999</v>
      </c>
      <c r="L26" s="32" t="s">
        <v>5</v>
      </c>
      <c r="M26" s="33">
        <v>3.4377537899999999</v>
      </c>
      <c r="N26" s="33">
        <v>0.97105383000000001</v>
      </c>
      <c r="O26" s="33">
        <v>-1.5933095900000001</v>
      </c>
      <c r="P26" s="33">
        <v>-0.86920479299999998</v>
      </c>
      <c r="Q26" s="33">
        <v>-3.3151435E-2</v>
      </c>
      <c r="R26" s="33">
        <v>8.8004436000000005E-2</v>
      </c>
      <c r="S26" s="15"/>
      <c r="T26" s="5"/>
      <c r="U26" s="14"/>
      <c r="V26" s="32" t="s">
        <v>5</v>
      </c>
      <c r="W26" s="33">
        <v>0.94</v>
      </c>
      <c r="X26" s="33">
        <v>-0.02</v>
      </c>
      <c r="Y26" s="33">
        <v>0.17738873299999999</v>
      </c>
      <c r="Z26" s="33">
        <v>-0.87450652399999995</v>
      </c>
      <c r="AA26" s="5"/>
    </row>
    <row r="27" spans="1:27" ht="15" thickBot="1">
      <c r="A27" s="32" t="s">
        <v>6</v>
      </c>
      <c r="B27" s="33">
        <v>1.2602870799999999</v>
      </c>
      <c r="C27" s="33">
        <v>0.24702421399999999</v>
      </c>
      <c r="D27" s="33">
        <v>0.70540503200000004</v>
      </c>
      <c r="E27" s="33">
        <v>-2.2673688140000001</v>
      </c>
      <c r="F27" s="33">
        <v>0.39233710500000002</v>
      </c>
      <c r="G27" s="33">
        <v>-0.57795033900000004</v>
      </c>
      <c r="L27" s="32" t="s">
        <v>6</v>
      </c>
      <c r="M27" s="33">
        <v>1.4291642200000001</v>
      </c>
      <c r="N27" s="33">
        <v>1.2602870799999999</v>
      </c>
      <c r="O27" s="33">
        <v>-0.147022454</v>
      </c>
      <c r="P27" s="33">
        <v>0.24702421399999999</v>
      </c>
      <c r="Q27" s="33">
        <v>0.193252387</v>
      </c>
      <c r="R27" s="33">
        <v>-1.2295682480000001</v>
      </c>
      <c r="S27" s="15"/>
      <c r="T27" s="5"/>
      <c r="U27" s="14"/>
      <c r="V27" s="32" t="s">
        <v>6</v>
      </c>
      <c r="W27" s="33">
        <v>-0.46</v>
      </c>
      <c r="X27" s="33">
        <v>-1.03</v>
      </c>
      <c r="Y27" s="33">
        <v>0.163160054</v>
      </c>
      <c r="Z27" s="33">
        <v>0.71988021599999996</v>
      </c>
      <c r="AA27" s="5"/>
    </row>
    <row r="28" spans="1:27" ht="14.4" customHeight="1" thickBot="1">
      <c r="A28" s="32" t="s">
        <v>7</v>
      </c>
      <c r="B28" s="33">
        <v>3.1854524</v>
      </c>
      <c r="C28" s="33">
        <v>-0.62067489600000003</v>
      </c>
      <c r="D28" s="33">
        <v>0.40661844400000002</v>
      </c>
      <c r="E28" s="33">
        <v>-0.47516902300000002</v>
      </c>
      <c r="F28" s="33">
        <v>0.15422847200000001</v>
      </c>
      <c r="G28" s="33">
        <v>-0.34471548200000002</v>
      </c>
      <c r="L28" s="32" t="s">
        <v>7</v>
      </c>
      <c r="M28" s="33">
        <v>-0.260739316</v>
      </c>
      <c r="N28" s="33">
        <v>3.1854524</v>
      </c>
      <c r="O28" s="33">
        <v>1.4956021999999999E-2</v>
      </c>
      <c r="P28" s="33">
        <v>-0.62067489600000003</v>
      </c>
      <c r="Q28" s="33">
        <v>0.149374644</v>
      </c>
      <c r="R28" s="33">
        <v>-0.90049388100000005</v>
      </c>
      <c r="S28" s="15"/>
      <c r="T28" s="5"/>
      <c r="U28" s="14"/>
      <c r="V28" s="32" t="s">
        <v>7</v>
      </c>
      <c r="W28" s="33">
        <v>0</v>
      </c>
      <c r="X28" s="33">
        <v>-0.5</v>
      </c>
      <c r="Y28" s="33">
        <v>0.22719766999999999</v>
      </c>
      <c r="Z28" s="33">
        <v>-0.21376899999999999</v>
      </c>
      <c r="AA28" s="5"/>
    </row>
    <row r="29" spans="1:27" ht="15" customHeight="1" thickBot="1">
      <c r="A29" s="32" t="s">
        <v>8</v>
      </c>
      <c r="B29" s="33">
        <v>-1.2530358699999999</v>
      </c>
      <c r="C29" s="33">
        <v>0.17909427</v>
      </c>
      <c r="D29" s="33">
        <v>0.21319260600000001</v>
      </c>
      <c r="E29" s="33">
        <v>0.895159339</v>
      </c>
      <c r="F29" s="33">
        <v>0.294121087</v>
      </c>
      <c r="G29" s="33">
        <v>-0.54931674900000005</v>
      </c>
      <c r="L29" s="32" t="s">
        <v>8</v>
      </c>
      <c r="M29" s="33">
        <v>-7.2854551000000004E-2</v>
      </c>
      <c r="N29" s="33">
        <v>-1.2530358699999999</v>
      </c>
      <c r="O29" s="33">
        <v>-3.9183891800000001</v>
      </c>
      <c r="P29" s="33">
        <v>0.17909427</v>
      </c>
      <c r="Q29" s="33">
        <v>0.13297952099999999</v>
      </c>
      <c r="R29" s="33">
        <v>-0.309502836</v>
      </c>
      <c r="S29" s="15"/>
      <c r="T29" s="5"/>
      <c r="U29" s="14"/>
      <c r="V29" s="32" t="s">
        <v>8</v>
      </c>
      <c r="W29" s="33">
        <v>-0.81</v>
      </c>
      <c r="X29" s="33">
        <v>-0.57999999999999996</v>
      </c>
      <c r="Y29" s="33">
        <v>0.135524173</v>
      </c>
      <c r="Z29" s="33">
        <v>0.44253549199999997</v>
      </c>
      <c r="AA29" s="5"/>
    </row>
    <row r="30" spans="1:27" ht="14.4" customHeight="1">
      <c r="A30" s="5"/>
      <c r="B30" s="5"/>
      <c r="C30" s="5"/>
      <c r="D30" s="5"/>
      <c r="E30" s="5"/>
      <c r="F30" s="5"/>
      <c r="M30" s="5"/>
      <c r="N30" s="5"/>
      <c r="O30" s="5"/>
      <c r="P30" s="5"/>
      <c r="Q30" s="5"/>
      <c r="R30" s="5"/>
      <c r="S30" s="5"/>
      <c r="T30" s="5"/>
      <c r="U30" s="14"/>
      <c r="V30" s="5"/>
      <c r="W30" s="5"/>
      <c r="X30" s="5"/>
      <c r="Y30" s="5"/>
      <c r="Z30" s="5"/>
      <c r="AA30" s="5"/>
    </row>
    <row r="31" spans="1:27" ht="15" customHeight="1">
      <c r="A31" s="5"/>
      <c r="B31" s="5"/>
      <c r="C31" s="5"/>
      <c r="D31" s="5"/>
      <c r="E31" s="5"/>
      <c r="F31" s="5"/>
      <c r="S31" s="5"/>
      <c r="U31" s="14"/>
      <c r="V31" s="5"/>
      <c r="W31" s="5"/>
      <c r="X31" s="5"/>
      <c r="Y31" s="5"/>
      <c r="Z31" s="5"/>
      <c r="AA31" s="5"/>
    </row>
    <row r="32" spans="1:27" ht="14.4" customHeight="1">
      <c r="U32" s="14"/>
      <c r="V32" s="5"/>
      <c r="W32" s="5"/>
      <c r="X32" s="5"/>
      <c r="Y32" s="5"/>
      <c r="Z32" s="5"/>
      <c r="AA32" s="5"/>
    </row>
    <row r="33" spans="21:27" ht="15" customHeight="1">
      <c r="U33" s="14"/>
      <c r="V33" s="5"/>
      <c r="W33" s="5"/>
      <c r="X33" s="5"/>
      <c r="Y33" s="5"/>
      <c r="Z33" s="5"/>
      <c r="AA33" s="5"/>
    </row>
    <row r="34" spans="21:27" ht="14.4" customHeight="1">
      <c r="U34" s="14"/>
      <c r="V34" s="5"/>
      <c r="W34" s="5"/>
      <c r="X34" s="5"/>
      <c r="Y34" s="5"/>
      <c r="Z34" s="5"/>
      <c r="AA34" s="5"/>
    </row>
    <row r="35" spans="21:27" ht="15" customHeight="1">
      <c r="U35" s="14"/>
      <c r="V35" s="5"/>
      <c r="W35" s="5"/>
      <c r="X35" s="5"/>
      <c r="Y35" s="5"/>
      <c r="Z35" s="5"/>
      <c r="AA35" s="5"/>
    </row>
    <row r="36" spans="21:27" ht="14.4" customHeight="1">
      <c r="U36" s="5"/>
      <c r="V36" s="5"/>
      <c r="W36" s="5"/>
      <c r="X36" s="5"/>
      <c r="Y36" s="5"/>
      <c r="Z36" s="5"/>
      <c r="AA36" s="5"/>
    </row>
    <row r="37" spans="21:27" ht="15" customHeight="1">
      <c r="U37" s="5"/>
      <c r="V37" s="5"/>
      <c r="W37" s="5"/>
      <c r="X37" s="15"/>
      <c r="Y37" s="15"/>
      <c r="Z37" s="21"/>
      <c r="AA37" s="5"/>
    </row>
    <row r="38" spans="21:27">
      <c r="U38" s="5"/>
      <c r="V38" s="5"/>
      <c r="W38" s="5"/>
      <c r="X38" s="5"/>
      <c r="Y38" s="5"/>
      <c r="Z38" s="5"/>
      <c r="AA38" s="5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05CD-3404-4E5E-A572-56F7A1632907}">
  <dimension ref="A1:B5"/>
  <sheetViews>
    <sheetView tabSelected="1" topLeftCell="P1" workbookViewId="0">
      <selection activeCell="B11" sqref="B11"/>
    </sheetView>
  </sheetViews>
  <sheetFormatPr defaultRowHeight="14.4"/>
  <cols>
    <col min="1" max="1" width="31.33203125" bestFit="1" customWidth="1"/>
    <col min="2" max="2" width="43.109375" bestFit="1" customWidth="1"/>
  </cols>
  <sheetData>
    <row r="1" spans="1:2">
      <c r="A1" s="3" t="s">
        <v>133</v>
      </c>
      <c r="B1" s="3" t="s">
        <v>138</v>
      </c>
    </row>
    <row r="2" spans="1:2">
      <c r="A2" s="22" t="s">
        <v>134</v>
      </c>
      <c r="B2" s="22">
        <f>полных_связей!B112</f>
        <v>461.46107460466459</v>
      </c>
    </row>
    <row r="3" spans="1:2">
      <c r="A3" s="22" t="s">
        <v>135</v>
      </c>
      <c r="B3" s="22">
        <f>взвешенный_метод_ср_связи!B113</f>
        <v>533.07229564454281</v>
      </c>
    </row>
    <row r="4" spans="1:2">
      <c r="A4" s="22" t="s">
        <v>136</v>
      </c>
      <c r="B4" s="22">
        <f>метод_Уорда!B104</f>
        <v>538.83851452509816</v>
      </c>
    </row>
    <row r="5" spans="1:2">
      <c r="A5" s="22" t="s">
        <v>137</v>
      </c>
      <c r="B5" s="74">
        <f>'k-средних'!F1</f>
        <v>59.222782337046979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Исходные данные</vt:lpstr>
      <vt:lpstr>Стандартизированные данные</vt:lpstr>
      <vt:lpstr>полных_связей</vt:lpstr>
      <vt:lpstr>взвешенный_метод_ср_связи</vt:lpstr>
      <vt:lpstr>метод_Уорда</vt:lpstr>
      <vt:lpstr>k-средних</vt:lpstr>
      <vt:lpstr>расчет дисперсий</vt:lpstr>
      <vt:lpstr>Графики</vt:lpstr>
      <vt:lpstr>Оценка качества классификации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Кривошапова</dc:creator>
  <cp:lastModifiedBy>Софья Кривошапова</cp:lastModifiedBy>
  <dcterms:created xsi:type="dcterms:W3CDTF">2026-09-24T01:09:50Z</dcterms:created>
  <dcterms:modified xsi:type="dcterms:W3CDTF">2026-10-10T14:56:02Z</dcterms:modified>
</cp:coreProperties>
</file>